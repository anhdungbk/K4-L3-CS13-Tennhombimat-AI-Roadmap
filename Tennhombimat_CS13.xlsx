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1_Danh sách việc" sheetId="3" state="visible" r:id="rId5"/>
    <sheet name="2_Mức tự động" sheetId="4" state="visible" r:id="rId6"/>
    <sheet name="3_Bảng lộ trình" sheetId="5" state="visible" r:id="rId7"/>
    <sheet name="4_Rà soát" sheetId="6" state="visible" r:id="rId8"/>
    <sheet name="5_Slide lãnh đạo" sheetId="7" state="visible" r:id="rId9"/>
    <sheet name="6_Tự kiểm tra" sheetId="8" state="visible" r:id="rId10"/>
    <sheet name="7_Thang điểm"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<sst xmlns="http://schemas.openxmlformats.org/spreadsheetml/2006/main" count="189" uniqueCount="183">
  <si>
    <t xml:space="preserve">CS13 · Lộ trình sản phẩm AI — File thực hành · Đề 3 · RaViện</t>
  </si>
  <si>
    <t xml:space="preserve">AI in Action · Track 1 · Khóa 4. FILE LÀM BÀI CỦA NHÓM · Đề 3 · RaViện. Dữ liệu của đề nằm trong file CS13_HoSoTinhHuong.pdf; file CS13_Roadmap_Mau.xlsx là bản mẫu đã điền (một sản phẩm khác) để xem cách điền.</t>
  </si>
  <si>
    <t xml:space="preserve">Luật chơi: CHỈ điền vào ô màu VÀNG. Ô màu XANH là công thức và đã được khóa. Bắt đầu bằng trang 0_Đầu vào (Nhiệm vụ 0: đọc hồ sơ tình huống).</t>
  </si>
  <si>
    <t xml:space="preserve">Thứ tự làm: 0 Đọc hồ sơ → 1 Danh sách việc → 2 Mức tự động → 3 Bảng lộ trình → 4 Rà soát → 6 Tự kiểm tra. Trang 5 (slide lãnh đạo) làm ở nhà.</t>
  </si>
  <si>
    <t xml:space="preserve">Số liệu kinh tế của đề đã điền sẵn ở trang 2, dòng 12–20. Không cần file của buổi nào khác: mọi dữ liệu cần dùng nằm trong hồ sơ tình huống, Đề 3.</t>
  </si>
  <si>
    <t xml:space="preserve">Lộ trình theo GIẢ THUYẾT: mỗi hạng mục phải trả lời 'Ta tin rằng làm X sẽ giúp Y đạt Z; biết đúng khi chỉ số W đạt ngưỡng V'.</t>
  </si>
  <si>
    <t xml:space="preserve">Tên file nộp: [Nhom]_CS13.xlsx · Nộp bản có Nhiệm vụ 1–4 lên VLearn trước 18:00 ngày 16/10. Trang 5 (Nhiệm vụ 5, làm ở nhà) nộp trước 23:59 ngày 19/10.</t>
  </si>
  <si>
    <t xml:space="preserve">Tuân thủ: Luật Trí tuệ nhân tạo số 134/2025/QH15 (hiệu lực 01/3/2026) chia hệ thống AI thành 3 mức rủi ro và yêu cầu người dùng được thông tin khi tương tác với AI. Đọc văn bản gốc trước khi ghi vào bài.</t>
  </si>
  <si>
    <t xml:space="preserve">Chú thích màu:</t>
  </si>
  <si>
    <t xml:space="preserve">Ô điền giả định (không khóa)</t>
  </si>
  <si>
    <t xml:space="preserve">Ô công thức (tự tính, đã khóa)</t>
  </si>
  <si>
    <t xml:space="preserve">0 · Nhiệm vụ 0: đọc hồ sơ tình huống, Đề 3 (5 phút)</t>
  </si>
  <si>
    <t xml:space="preserve">Cả nhóm đọc cùng một hồ sơ trước khi điền. Nhiệm vụ 0 không tính điểm; đánh dấu "Có" khi cả nhóm đã đọc mục đó.</t>
  </si>
  <si>
    <t xml:space="preserve">Mục trong hồ sơ tình huống</t>
  </si>
  <si>
    <t xml:space="preserve">Nhóm đã đọc chưa?</t>
  </si>
  <si>
    <t xml:space="preserve">Dùng ở đâu trong file</t>
  </si>
  <si>
    <t xml:space="preserve">Lưu ý</t>
  </si>
  <si>
    <t xml:space="preserve">Ghi chú của nhóm</t>
  </si>
  <si>
    <t xml:space="preserve">Số liệu kinh tế của đề (9 dòng)</t>
  </si>
  <si>
    <t xml:space="preserve">Đã điền sẵn ở trang 2, dòng 12–20: chi phí mỗi việc, biên lợi nhuận, điều kiện dừng</t>
  </si>
  <si>
    <t xml:space="preserve">Đọc để hiểu; không cần chép</t>
  </si>
  <si>
    <t xml:space="preserve">Bối cảnh, sản phẩm, "1 việc" là gì</t>
  </si>
  <si>
    <t xml:space="preserve">Giả thuyết và chỉ số ở trang 1</t>
  </si>
  <si>
    <t xml:space="preserve">Viết giả thuyết theo đúng "1 việc" của đề</t>
  </si>
  <si>
    <t xml:space="preserve">6 việc gợi ý</t>
  </si>
  <si>
    <t xml:space="preserve">Trang 1, cột B–C; nhóm được thêm việc của mình</t>
  </si>
  <si>
    <t xml:space="preserve">Giữ, bỏ hay đổi thứ tự đều phải ghi lý do ở cột Q</t>
  </si>
  <si>
    <t xml:space="preserve">Kết quả đánh giá đã có (bộ đề, cổng phát hành)</t>
  </si>
  <si>
    <t xml:space="preserve">Cổng đánh giá ở trang 2; việc cần làm trước ở trang 3</t>
  </si>
  <si>
    <t xml:space="preserve">Đề 2, 3: kết luận chưa phải "Phát hành" → có việc phải làm trước</t>
  </si>
  <si>
    <t xml:space="preserve">Chuyên gia và số giờ của họ</t>
  </si>
  <si>
    <t xml:space="preserve">Dòng "Điều kiện cần" ở trang 3; ô "Cần gì" ở trang 5</t>
  </si>
  <si>
    <t xml:space="preserve">Dẫn đúng số giờ trong hồ sơ</t>
  </si>
  <si>
    <t xml:space="preserve">Gợi ý về người duyệt và mức tự động</t>
  </si>
  <si>
    <t xml:space="preserve">Trang 2, cột H và I</t>
  </si>
  <si>
    <t xml:space="preserve">Đề 3: bác sĩ của bệnh viện không tính vào chi phí</t>
  </si>
  <si>
    <t xml:space="preserve">Số mục nhóm đã đọc</t>
  </si>
  <si>
    <t xml:space="preserve">Đủ 6/6 thì sang Nhiệm vụ 1.</t>
  </si>
  <si>
    <t xml:space="preserve">1 · Danh sách việc và chấm điểm ưu tiên</t>
  </si>
  <si>
    <t xml:space="preserve">Điểm = Độ phủ × Tác động × Mức tự tin ÷ Công sức × (0,5 + 0,5 × sẵn sàng trung bình của dữ liệu và đánh giá) × (1 − 0,5 × rủi ro bị 'nuốt')</t>
  </si>
  <si>
    <t xml:space="preserve">STT</t>
  </si>
  <si>
    <t xml:space="preserve">Việc</t>
  </si>
  <si>
    <t xml:space="preserve">Kết quả muốn đạt</t>
  </si>
  <si>
    <t xml:space="preserve">Giả thuyết (Ta tin rằng…)</t>
  </si>
  <si>
    <t xml:space="preserve">Chỉ số thành công và ngưỡng</t>
  </si>
  <si>
    <t xml:space="preserve">Độ phủ 1–5</t>
  </si>
  <si>
    <t xml:space="preserve">Tác động 1–5</t>
  </si>
  <si>
    <t xml:space="preserve">Mức tự tin 0,5 / 0,8 / 1</t>
  </si>
  <si>
    <t xml:space="preserve">Công sức 1–5</t>
  </si>
  <si>
    <t xml:space="preserve">Sẵn sàng dữ liệu 0–1</t>
  </si>
  <si>
    <t xml:space="preserve">Sẵn sàng đánh giá 0–1</t>
  </si>
  <si>
    <t xml:space="preserve">Rủi ro bị nuốt 0–1</t>
  </si>
  <si>
    <t xml:space="preserve">ĐIỂM</t>
  </si>
  <si>
    <t xml:space="preserve">Xếp hạng</t>
  </si>
  <si>
    <t xml:space="preserve">Chỉ số có con số?</t>
  </si>
  <si>
    <t xml:space="preserve">Tự làm / Mua / Chờ / Không làm</t>
  </si>
  <si>
    <t xml:space="preserve">Lý do (đổi thứ tự, chọn mua hay chờ…)</t>
  </si>
  <si>
    <t xml:space="preserve">2 · Lộ trình tăng dần mức tự động và cổng đánh giá</t>
  </si>
  <si>
    <t xml:space="preserve">Mỗi lần lên mức phải qua một cổng đánh giá bằng con số. Chưa qua cổng thì chưa lên mức, dù đã đến ngày. Mức tự động quyết định chi phí mỗi việc: xem cột H–L.</t>
  </si>
  <si>
    <t xml:space="preserve">Mức</t>
  </si>
  <si>
    <t xml:space="preserve">Tên mức</t>
  </si>
  <si>
    <t xml:space="preserve">AI làm gì</t>
  </si>
  <si>
    <t xml:space="preserve">Người làm gì</t>
  </si>
  <si>
    <t xml:space="preserve">Cổng đánh giá để lên mức này (chỉ số + ngưỡng + cỡ mẫu)</t>
  </si>
  <si>
    <t xml:space="preserve">Dữ liệu / hạ tầng / tuân thủ cần có</t>
  </si>
  <si>
    <t xml:space="preserve">Dự kiến (kế hoạch nội bộ, không phải cam kết)</t>
  </si>
  <si>
    <t xml:space="preserve">% việc có người duyệt</t>
  </si>
  <si>
    <t xml:space="preserve">Ai duyệt</t>
  </si>
  <si>
    <t xml:space="preserve">Chi phí mỗi việc (đ)</t>
  </si>
  <si>
    <t xml:space="preserve">Biên lợi nhuận gộp</t>
  </si>
  <si>
    <t xml:space="preserve">Biên ≥ 60%?</t>
  </si>
  <si>
    <t xml:space="preserve">Cổng có con số?</t>
  </si>
  <si>
    <t xml:space="preserve">Gợi ý</t>
  </si>
  <si>
    <t xml:space="preserve">Người của mình</t>
  </si>
  <si>
    <t xml:space="preserve">Hỗ trợ có duyệt</t>
  </si>
  <si>
    <t xml:space="preserve">Tự động một phần</t>
  </si>
  <si>
    <t xml:space="preserve">Tự động có giám sát</t>
  </si>
  <si>
    <t xml:space="preserve">SỐ LIỆU KINH TẾ CỦA ĐỀ (đã điền sẵn từ hồ sơ tình huống; sửa được nếu nhóm có lý do)</t>
  </si>
  <si>
    <t xml:space="preserve">Chi phí gọi AI / việc (đã tính gọi lại)</t>
  </si>
  <si>
    <t xml:space="preserve">Hồ sơ, bảng Số liệu kinh tế, dòng 1</t>
  </si>
  <si>
    <t xml:space="preserve">Hạ tầng + đánh giá + khác / việc</t>
  </si>
  <si>
    <t xml:space="preserve">dòng 2</t>
  </si>
  <si>
    <t xml:space="preserve">Số phút người duyệt / việc</t>
  </si>
  <si>
    <t xml:space="preserve">dòng 3</t>
  </si>
  <si>
    <t xml:space="preserve">Chi phí 1 giờ người duyệt (đ)</t>
  </si>
  <si>
    <t xml:space="preserve">dòng 4</t>
  </si>
  <si>
    <t xml:space="preserve">Doanh thu bình quân / khách / tháng (đ)</t>
  </si>
  <si>
    <t xml:space="preserve">dòng 5</t>
  </si>
  <si>
    <t xml:space="preserve">Số việc bình quân / khách / tháng</t>
  </si>
  <si>
    <t xml:space="preserve">dòng 6</t>
  </si>
  <si>
    <t xml:space="preserve">Biến nguy hiểm nhất</t>
  </si>
  <si>
    <t xml:space="preserve">Tỷ lệ bản nháp bác sĩ phải sửa nhiều: quá 30% thì bác sĩ bỏ dùng</t>
  </si>
  <si>
    <t xml:space="preserve">dòng 7</t>
  </si>
  <si>
    <t xml:space="preserve">Điều kiện dừng đã chọn (theo đề)</t>
  </si>
  <si>
    <t xml:space="preserve">Hết tháng 3 thử nghiệm: bác sĩ phải sửa nhiều trên 30% bản nháp, hoặc có 1 lỗi thuốc lọt đến người bệnh, THÌ dừng, không mở sang khoa khác</t>
  </si>
  <si>
    <t xml:space="preserve">dòng 8</t>
  </si>
  <si>
    <t xml:space="preserve">Kịch bản xấu hết tiền ở tháng</t>
  </si>
  <si>
    <t xml:space="preserve">dòng 9</t>
  </si>
  <si>
    <t xml:space="preserve">Ghi chú: bác sĩ của bệnh viện luôn đọc và ký, không tính vào chi phí của mình. Người duyệt của mình là dược sĩ kiểm tra phần thuốc. Mức 3 có thể ghi "Không làm".</t>
  </si>
  <si>
    <t xml:space="preserve">3 · Bảng lộ trình theo giả thuyết: Bây giờ / Tiếp theo / Sau này</t>
  </si>
  <si>
    <t xml:space="preserve">Bây giờ = cam kết (0–3 tháng) · Tiếp theo = định hướng (3–6 tháng) · Sau này = khám phá (6–12 tháng). Càng xa càng ít chi tiết.</t>
  </si>
  <si>
    <t xml:space="preserve">Dòng</t>
  </si>
  <si>
    <t xml:space="preserve">Bây giờ (0–3 tháng)</t>
  </si>
  <si>
    <t xml:space="preserve">Tiếp theo (3–6 tháng)</t>
  </si>
  <si>
    <t xml:space="preserve">Sau này (6–12 tháng)</t>
  </si>
  <si>
    <t xml:space="preserve">Việc chính (lấy từ trang 1)</t>
  </si>
  <si>
    <t xml:space="preserve">Giả thuyết</t>
  </si>
  <si>
    <t xml:space="preserve">Mức tự động (trang 2)</t>
  </si>
  <si>
    <t xml:space="preserve">Cổng đánh giá</t>
  </si>
  <si>
    <t xml:space="preserve">Điều kiện cần: dữ liệu / hạ tầng / tuân thủ</t>
  </si>
  <si>
    <t xml:space="preserve">Căn cứ kinh tế (số liệu của đề và trang 2)</t>
  </si>
  <si>
    <t xml:space="preserve">Điều kiện dừng / đổi hướng</t>
  </si>
  <si>
    <t xml:space="preserve">4 · Lịch rà soát lộ trình</t>
  </si>
  <si>
    <t xml:space="preserve">Rà soát theo lịch VÀ mỗi khi có sự kiện. Ở mốc 30/60/90 chọn 1 trong 4: đi tiếp, sửa, đổi hướng, dừng.</t>
  </si>
  <si>
    <t xml:space="preserve">Mốc / sự kiện</t>
  </si>
  <si>
    <t xml:space="preserve">Nhìn vào chỉ số nào</t>
  </si>
  <si>
    <t xml:space="preserve">Quyết định có thể đưa ra</t>
  </si>
  <si>
    <t xml:space="preserve">Ai quyết</t>
  </si>
  <si>
    <t xml:space="preserve">Ngày 30</t>
  </si>
  <si>
    <t xml:space="preserve">Ngày 60</t>
  </si>
  <si>
    <t xml:space="preserve">Ngày 90</t>
  </si>
  <si>
    <t xml:space="preserve">Có mô hình mới / giá gọi AI giảm mạnh</t>
  </si>
  <si>
    <t xml:space="preserve">Nền tảng hoặc đối thủ ra tính năng tương tự</t>
  </si>
  <si>
    <t xml:space="preserve">Quy định pháp lý thay đổi</t>
  </si>
  <si>
    <t xml:space="preserve">Ngày 90 chưa đo được giá trị vòng đời thật: khách mới dùng 3 tháng. Chỉ dùng chỉ số đã có đủ dữ liệu.</t>
  </si>
  <si>
    <t xml:space="preserve">5 · Lộ trình 1 slide cho lãnh đạo</t>
  </si>
  <si>
    <t xml:space="preserve">Kết luận trước. Không quá 60 chữ mỗi ô (cột C tự đếm).</t>
  </si>
  <si>
    <t xml:space="preserve">Số chữ</t>
  </si>
  <si>
    <t xml:space="preserve">Đạt?</t>
  </si>
  <si>
    <t xml:space="preserve">Kết luận (1 câu)</t>
  </si>
  <si>
    <t xml:space="preserve">3 việc chính</t>
  </si>
  <si>
    <t xml:space="preserve">Cần gì (người, tiền, dữ liệu)</t>
  </si>
  <si>
    <t xml:space="preserve">Rủi ro lớn nhất &amp; cách xử lý</t>
  </si>
  <si>
    <t xml:space="preserve">Khi nào xem lại</t>
  </si>
  <si>
    <t xml:space="preserve">6 · Tự kiểm tra</t>
  </si>
  <si>
    <t xml:space="preserve">Chưa 'Đạt' thì quay lại sửa trước khi nộp file.</t>
  </si>
  <si>
    <t xml:space="preserve">Điểm kiểm tra</t>
  </si>
  <si>
    <t xml:space="preserve">Kết quả</t>
  </si>
  <si>
    <t xml:space="preserve">Số việc đã chấm điểm (cần ≥ 5)</t>
  </si>
  <si>
    <t xml:space="preserve">Việc được giữ lại mà thiếu giả thuyết hoặc chỉ số có con số (cần = 0)</t>
  </si>
  <si>
    <t xml:space="preserve">Số mức tự động có cổng đánh giá kèm con số (cần ≥ 2, không tính Mức 0)</t>
  </si>
  <si>
    <t xml:space="preserve">Bảng lộ trình: số ô tầng 'Bây giờ' đã điền (cần 8/8)</t>
  </si>
  <si>
    <t xml:space="preserve">Điều kiện dừng tầng 'Bây giờ' có con số</t>
  </si>
  <si>
    <t xml:space="preserve">Căn cứ kinh tế có con số (từ số liệu của đề)</t>
  </si>
  <si>
    <t xml:space="preserve">Slide lãnh đạo: số ô đạt (đủ chữ, không quá 60 chữ; cần 5)</t>
  </si>
  <si>
    <t xml:space="preserve">Số mức tự động có biên lợi nhuận ≥ 60% (cần ≥ 1)</t>
  </si>
  <si>
    <t xml:space="preserve">7 · Thang điểm sản phẩm (100 điểm)</t>
  </si>
  <si>
    <t xml:space="preserve">Tiêu chí</t>
  </si>
  <si>
    <t xml:space="preserve">Điểm</t>
  </si>
  <si>
    <t xml:space="preserve">Bài đạt khi</t>
  </si>
  <si>
    <t xml:space="preserve">Điểm nhóm</t>
  </si>
  <si>
    <t xml:space="preserve">Theo kết quả và giả thuyết</t>
  </si>
  <si>
    <t xml:space="preserve">Mỗi việc có giả thuyết, chỉ số và ngưỡng, không chỉ là tên tính năng</t>
  </si>
  <si>
    <t xml:space="preserve">Ưu tiên có căn cứ</t>
  </si>
  <si>
    <t xml:space="preserve">Bảng điểm ≥ 5 việc; có sẵn sàng dữ liệu, đánh giá và rủi ro bị nuốt; dùng số liệu kinh tế của đề; đổi thứ tự hoặc bỏ việc thì ghi lý do</t>
  </si>
  <si>
    <t xml:space="preserve">Mức tự động và cổng đánh giá</t>
  </si>
  <si>
    <t xml:space="preserve">≥ 2 mức có cổng bằng con số (chỉ số, ngưỡng, cỡ mẫu); có vai trò của người; có chi phí mỗi việc theo mức</t>
  </si>
  <si>
    <t xml:space="preserve">Điều kiện cần và rủi ro</t>
  </si>
  <si>
    <t xml:space="preserve">Nêu dữ liệu, hạ tầng, tuân thủ; điều kiện dừng đo được với quy mô thử nghiệm; có lịch rà soát</t>
  </si>
  <si>
    <t xml:space="preserve">Slide lãnh đạo</t>
  </si>
  <si>
    <t xml:space="preserve">Kết luận trước, ≤ 60 chữ mỗi ô, trả lời được "cần gì" và "khi nào xem lại"</t>
  </si>
  <si>
    <t xml:space="preserve">TỔNG</t>
  </si>
  <si>
    <t xml:space="preserve">THANG ĐIỂM TRÌNH BÀY (1–5 điểm mỗi tiêu chí)</t>
  </si>
  <si>
    <t xml:space="preserve">Mức 1</t>
  </si>
  <si>
    <t xml:space="preserve">Mức 3</t>
  </si>
  <si>
    <t xml:space="preserve">Mức 5</t>
  </si>
  <si>
    <t xml:space="preserve">Rõ ràng</t>
  </si>
  <si>
    <t xml:space="preserve">Câu đầu chưa có kết luận; người nghe phải đoán nhóm làm gì trước</t>
  </si>
  <si>
    <t xml:space="preserve">Có kết luận nhưng nói sau phần mở đầu, hoặc thiếu mốc quyết định</t>
  </si>
  <si>
    <t xml:space="preserve">Câu đầu có việc làm trước, mục tiêu bằng số và ngày quyết định</t>
  </si>
  <si>
    <t xml:space="preserve">Bằng chứng</t>
  </si>
  <si>
    <t xml:space="preserve">Không có cổng đánh giá, hoặc số không có nguồn</t>
  </si>
  <si>
    <t xml:space="preserve">Có cổng nhưng thiếu cỡ mẫu hoặc căn cứ kinh tế</t>
  </si>
  <si>
    <t xml:space="preserve">Cổng đủ chỉ số, ngưỡng, cỡ mẫu; căn cứ kinh tế lấy từ số liệu của đề</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</si>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</sst>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ns0:styleSheet xmlns:ns0="http://schemas.openxmlformats.org/spreadsheetml/2006/main">
  <ns0:numFmts count="6">
    <ns0:numFmt numFmtId="164" formatCode="General"/>
    <ns0:numFmt numFmtId="165" formatCode="General"/>
    <ns0:numFmt numFmtId="166" formatCode="0%"/>
    <ns0:numFmt numFmtId="167" formatCode="#,##0;[RED]\-#,##0"/>
    <ns0:numFmt numFmtId="168" formatCode="0.0"/>
    <ns0:numFmt numFmtId="169" formatCode="0"/>
  </ns0:numFmts>
  <ns0:fonts count="11">
    <ns0:font>
      <ns0:sz val="11"/>
      <ns0:color theme="1"/>
      <ns0:name val="Calibri"/>
      <ns0:family val="2"/>
      <ns0:charset val="1"/>
    </ns0:font>
    <ns0:font>
      <ns0:sz val="10"/>
      <ns0:name val="Arial"/>
      <ns0:family val="0"/>
    </ns0:font>
    <ns0:font>
      <ns0:sz val="10"/>
      <ns0:name val="Arial"/>
      <ns0:family val="0"/>
    </ns0:font>
    <ns0:font>
      <ns0:sz val="10"/>
      <ns0:name val="Arial"/>
      <ns0:family val="0"/>
    </ns0:font>
    <ns0:font>
      <ns0:b val="true"/>
      <ns0:sz val="14"/>
      <ns0:name val="Cambria"/>
      <ns0:family val="0"/>
      <ns0:charset val="1"/>
    </ns0:font>
    <ns0:font>
      <ns0:i val="true"/>
      <ns0:sz val="11"/>
      <ns0:color rgb="FF595959"/>
      <ns0:name val="Cambria"/>
      <ns0:family val="0"/>
      <ns0:charset val="1"/>
    </ns0:font>
    <ns0:font>
      <ns0:b val="true"/>
      <ns0:sz val="11"/>
      <ns0:color rgb="FFFFFFFF"/>
      <ns0:name val="Cambria"/>
      <ns0:family val="0"/>
      <ns0:charset val="1"/>
    </ns0:font>
    <ns0:font>
      <ns0:b val="true"/>
      <ns0:sz val="11"/>
      <ns0:name val="Cambria"/>
      <ns0:family val="0"/>
      <ns0:charset val="1"/>
    </ns0:font>
    <ns0:font>
      <ns0:sz val="11"/>
      <ns0:name val="Calibri"/>
      <ns0:family val="0"/>
      <ns0:charset val="1"/>
    </ns0:font>
    <ns0:font>
      <ns0:i val="true"/>
      <ns0:sz val="10"/>
      <ns0:color rgb="FF595959"/>
      <ns0:name val="Calibri"/>
      <ns0:family val="0"/>
      <ns0:charset val="1"/>
    </ns0:font>
    <ns0:font>
      <ns0:b val="true"/>
      <ns0:sz val="12"/>
      <ns0:name val="Cambria"/>
      <ns0:family val="0"/>
      <ns0:charset val="1"/>
    </ns0:font>
  </ns0:fonts>
  <ns0:fills count="5">
    <ns0:fill>
      <ns0:patternFill patternType="none"/>
    </ns0:fill>
    <ns0:fill>
      <ns0:patternFill patternType="gray125"/>
    </ns0:fill>
    <ns0:fill>
      <ns0:patternFill patternType="solid">
        <ns0:fgColor rgb="FFFFF2CC"/>
        <ns0:bgColor rgb="FFE2EFDA"/>
      </ns0:patternFill>
    </ns0:fill>
    <ns0:fill>
      <ns0:patternFill patternType="solid">
        <ns0:fgColor rgb="FFE2EFDA"/>
        <ns0:bgColor rgb="FFFFF2CC"/>
      </ns0:patternFill>
    </ns0:fill>
    <ns0:fill>
      <ns0:patternFill patternType="solid">
        <ns0:fgColor rgb="FF1F3864"/>
        <ns0:bgColor rgb="FF333333"/>
      </ns0:patternFill>
    </ns0:fill>
  </ns0:fills>
  <ns0:borders count="2">
    <ns0:border diagonalUp="false" diagonalDown="false">
      <ns0:left/>
      <ns0:right/>
      <ns0:top/>
      <ns0:bottom/>
      <ns0:diagonal/>
    </ns0:border>
    <ns0:border diagonalUp="false" diagonalDown="false">
      <ns0:left style="thin">
        <ns0:color rgb="FFBFBFBF"/>
      </ns0:left>
      <ns0:right style="thin">
        <ns0:color rgb="FFBFBFBF"/>
      </ns0:right>
      <ns0:top style="thin">
        <ns0:color rgb="FFBFBFBF"/>
      </ns0:top>
      <ns0:bottom style="thin">
        <ns0:color rgb="FFBFBFBF"/>
      </ns0:bottom>
      <ns0:diagonal/>
    </ns0:border>
  </ns0:borders>
  <ns0:cellStyleXfs count="20">
    <ns0:xf numFmtId="164" fontId="0" fillId="0" borderId="0" applyFont="true" applyBorder="true" applyAlignment="true" applyProtection="true">
      <ns0:alignment horizontal="general" vertical="bottom" textRotation="0" wrapText="false" indent="0" shrinkToFit="false"/>
      <ns0:protection locked="true" hidden="false"/>
    </ns0:xf>
    <ns0:xf numFmtId="0" fontId="1" fillId="0" borderId="0" applyFont="true" applyBorder="false" applyAlignment="false" applyProtection="false"/>
    <ns0:xf numFmtId="0" fontId="1" fillId="0" borderId="0" applyFont="true" applyBorder="false" applyAlignment="false" applyProtection="false"/>
    <ns0:xf numFmtId="0" fontId="2" fillId="0" borderId="0" applyFont="true" applyBorder="false" applyAlignment="false" applyProtection="false"/>
    <ns0:xf numFmtId="0" fontId="2"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43" fontId="1" fillId="0" borderId="0" applyFont="true" applyBorder="false" applyAlignment="false" applyProtection="false"/>
    <ns0:xf numFmtId="41" fontId="1" fillId="0" borderId="0" applyFont="true" applyBorder="false" applyAlignment="false" applyProtection="false"/>
    <ns0:xf numFmtId="44" fontId="1" fillId="0" borderId="0" applyFont="true" applyBorder="false" applyAlignment="false" applyProtection="false"/>
    <ns0:xf numFmtId="42" fontId="1" fillId="0" borderId="0" applyFont="true" applyBorder="false" applyAlignment="false" applyProtection="false"/>
    <ns0:xf numFmtId="9" fontId="1" fillId="0" borderId="0" applyFont="true" applyBorder="false" applyAlignment="false" applyProtection="false"/>
  </ns0:cellStyleXfs>
  <ns0:cellXfs count="33">
    <ns0:xf numFmtId="164" fontId="0" fillId="0" borderId="0" xfId="0" applyFont="false" applyBorder="false" applyAlignment="false" applyProtection="false">
      <ns0:alignment horizontal="general" vertical="bottom" textRotation="0" wrapText="false" indent="0" shrinkToFit="false"/>
      <ns0:protection locked="true" hidden="false"/>
    </ns0:xf>
    <ns0:xf numFmtId="164" fontId="0" fillId="0" borderId="0" xfId="0" applyFont="false" applyBorder="false" applyAlignment="true" applyProtection="false">
      <ns0:alignment horizontal="general" vertical="bottom" textRotation="0" wrapText="false" indent="0" shrinkToFit="false"/>
      <ns0:protection locked="true" hidden="false"/>
    </ns0:xf>
    <ns0:xf numFmtId="164" fontId="4" fillId="0" borderId="0" xfId="0" applyFont="true" applyBorder="false" applyAlignment="true" applyProtection="false">
      <ns0:alignment horizontal="general" vertical="bottom" textRotation="0" wrapText="false" indent="0" shrinkToFit="false"/>
      <ns0:protection locked="true" hidden="false"/>
    </ns0:xf>
    <ns0:xf numFmtId="164" fontId="5" fillId="0" borderId="0" xfId="0" applyFont="true" applyBorder="false" applyAlignment="true" applyProtection="false">
      <ns0:alignment horizontal="general" vertical="bottom" textRotation="0" wrapText="false" indent="0" shrinkToFit="false"/>
      <ns0:protection locked="true" hidden="false"/>
    </ns0:xf>
    <ns0:xf numFmtId="164" fontId="0" fillId="2" borderId="0" xfId="0" applyFont="true" applyBorder="false" applyAlignment="true" applyProtection="false">
      <ns0:alignment horizontal="general" vertical="bottom" textRotation="0" wrapText="false" indent="0" shrinkToFit="false"/>
      <ns0:protection locked="true" hidden="false"/>
    </ns0:xf>
    <ns0:xf numFmtId="164" fontId="0" fillId="3" borderId="0" xfId="0" applyFont="true" applyBorder="false" applyAlignment="true" applyProtection="false">
      <ns0:alignment horizontal="general" vertical="bottom" textRotation="0" wrapText="false" indent="0" shrinkToFit="false"/>
      <ns0:protection locked="true" hidden="false"/>
    </ns0:xf>
    <ns0:xf numFmtId="164" fontId="6" fillId="4" borderId="0" xfId="0" applyFont="true" applyBorder="false" applyAlignment="true" applyProtection="false">
      <ns0:alignment horizontal="general" vertical="bottom" textRotation="0" wrapText="true" indent="0" shrinkToFit="false"/>
      <ns0:protection locked="true" hidden="false"/>
    </ns0:xf>
    <ns0:xf numFmtId="164" fontId="0" fillId="0" borderId="1" xfId="0" applyFont="true" applyBorder="true" applyAlignment="true" applyProtection="false">
      <ns0:alignment horizontal="general" vertical="top" textRotation="0" wrapText="true" indent="0" shrinkToFit="false"/>
      <ns0:protection locked="true" hidden="false"/>
    </ns0:xf>
    <ns0:xf numFmtId="164" fontId="0" fillId="2" borderId="1" xfId="0" applyFont="false" applyBorder="true" applyAlignment="true" applyProtection="true">
      <ns0:alignment horizontal="general" vertical="top" textRotation="0" wrapText="true" indent="0" shrinkToFit="false"/>
      <ns0:protection locked="false" hidden="false"/>
    </ns0:xf>
    <ns0:xf numFmtId="164" fontId="7" fillId="0" borderId="0" xfId="0" applyFont="true" applyBorder="false" applyAlignment="true" applyProtection="false">
      <ns0:alignment horizontal="general" vertical="bottom" textRotation="0" wrapText="false" indent="0" shrinkToFit="false"/>
      <ns0:protection locked="true" hidden="false"/>
    </ns0:xf>
    <ns0:xf numFmtId="164" fontId="6" fillId="4" borderId="0" xfId="0" applyFont="true" applyBorder="false" applyAlignment="true" applyProtection="false">
      <ns0:alignment horizontal="general" vertical="center" textRotation="0" wrapText="true" indent="0" shrinkToFit="false"/>
      <ns0:protection locked="true" hidden="false"/>
    </ns0:xf>
    <ns0:xf numFmtId="164" fontId="0" fillId="0" borderId="1" xfId="0" applyFont="false" applyBorder="true" applyAlignment="true" applyProtection="false">
      <ns0:alignment horizontal="general" vertical="bottom" textRotation="0" wrapText="false" indent="0" shrinkToFit="false"/>
      <ns0:protection locked="true" hidden="false"/>
    </ns0:xf>
    <ns0:xf numFmtId="165" fontId="0" fillId="3" borderId="1" xfId="0" applyFont="false" applyBorder="true" applyAlignment="true" applyProtection="false">
      <ns0:alignment horizontal="general" vertical="top" textRotation="0" wrapText="true" indent="0" shrinkToFit="false"/>
      <ns0:protection locked="true" hidden="false"/>
    </ns0:xf>
    <ns0:xf numFmtId="164" fontId="0" fillId="3" borderId="1" xfId="0" applyFont="false" applyBorder="true" applyAlignment="true" applyProtection="false">
      <ns0:alignment horizontal="center" vertical="bottom" textRotation="0" wrapText="false" indent="0" shrinkToFit="false"/>
      <ns0:protection locked="true" hidden="false"/>
    </ns0:xf>
    <ns0:xf numFmtId="164" fontId="8" fillId="2" borderId="0" xfId="0" applyFont="true" applyBorder="false" applyAlignment="true" applyProtection="true">
      <ns0:alignment horizontal="general" vertical="bottom" textRotation="0" wrapText="false" indent="0" shrinkToFit="false"/>
      <ns0:protection locked="false" hidden="false"/>
    </ns0:xf>
    <ns0:xf numFmtId="166" fontId="8" fillId="2" borderId="0" xfId="0" applyFont="true" applyBorder="false" applyAlignment="true" applyProtection="true">
      <ns0:alignment horizontal="general" vertical="bottom" textRotation="0" wrapText="false" indent="0" shrinkToFit="false"/>
      <ns0:protection locked="false" hidden="false"/>
    </ns0:xf>
    <ns0:xf numFmtId="167" fontId="8" fillId="3" borderId="0" xfId="0" applyFont="true" applyBorder="false" applyAlignment="true" applyProtection="false">
      <ns0:alignment horizontal="general" vertical="bottom" textRotation="0" wrapText="false" indent="0" shrinkToFit="false"/>
      <ns0:protection locked="true" hidden="false"/>
    </ns0:xf>
    <ns0:xf numFmtId="166" fontId="8" fillId="3" borderId="0" xfId="0" applyFont="true" applyBorder="false" applyAlignment="true" applyProtection="false">
      <ns0:alignment horizontal="general" vertical="bottom" textRotation="0" wrapText="false" indent="0" shrinkToFit="false"/>
      <ns0:protection locked="true" hidden="false"/>
    </ns0:xf>
    <ns0:xf numFmtId="164" fontId="8" fillId="3" borderId="0" xfId="0" applyFont="true" applyBorder="false" applyAlignment="true" applyProtection="false">
      <ns0:alignment horizontal="general" vertical="bottom" textRotation="0" wrapText="false" indent="0" shrinkToFit="false"/>
      <ns0:protection locked="true" hidden="false"/>
    </ns0:xf>
    <ns0:xf numFmtId="164" fontId="8" fillId="0" borderId="0" xfId="0" applyFont="true" applyBorder="false" applyAlignment="true" applyProtection="false">
      <ns0:alignment horizontal="general" vertical="bottom" textRotation="0" wrapText="false" indent="0" shrinkToFit="false"/>
      <ns0:protection locked="true" hidden="false"/>
    </ns0:xf>
    <ns0:xf numFmtId="167" fontId="8" fillId="2" borderId="0" xfId="0" applyFont="true" applyBorder="false" applyAlignment="true" applyProtection="true">
      <ns0:alignment horizontal="general" vertical="bottom" textRotation="0" wrapText="false" indent="0" shrinkToFit="false"/>
      <ns0:protection locked="false" hidden="false"/>
    </ns0:xf>
    <ns0:xf numFmtId="164" fontId="9" fillId="0" borderId="0" xfId="0" applyFont="true" applyBorder="false" applyAlignment="true" applyProtection="false">
      <ns0:alignment horizontal="general" vertical="bottom" textRotation="0" wrapText="false" indent="0" shrinkToFit="false"/>
      <ns0:protection locked="true" hidden="false"/>
    </ns0:xf>
    <ns0:xf numFmtId="168" fontId="8" fillId="2" borderId="0" xfId="0" applyFont="true" applyBorder="false" applyAlignment="true" applyProtection="true">
      <ns0:alignment horizontal="general" vertical="bottom" textRotation="0" wrapText="false" indent="0" shrinkToFit="false"/>
      <ns0:protection locked="false" hidden="false"/>
    </ns0:xf>
    <ns0:xf numFmtId="169" fontId="8" fillId="2" borderId="0" xfId="0" applyFont="true" applyBorder="false" applyAlignment="true" applyProtection="true">
      <ns0:alignment horizontal="general" vertical="bottom" textRotation="0" wrapText="false" indent="0" shrinkToFit="false"/>
      <ns0:protection locked="false" hidden="false"/>
    </ns0:xf>
    <ns0:xf numFmtId="164" fontId="7" fillId="0" borderId="1" xfId="0" applyFont="true" applyBorder="true" applyAlignment="true" applyProtection="false">
      <ns0:alignment horizontal="general" vertical="top" textRotation="0" wrapText="true" indent="0" shrinkToFit="false"/>
      <ns0:protection locked="true" hidden="false"/>
    </ns0:xf>
    <ns0:xf numFmtId="164" fontId="7" fillId="0" borderId="1" xfId="0" applyFont="true" applyBorder="true" applyAlignment="true" applyProtection="false">
      <ns0:alignment horizontal="general" vertical="bottom" textRotation="0" wrapText="false" indent="0" shrinkToFit="false"/>
      <ns0:protection locked="true" hidden="false"/>
    </ns0:xf>
    <ns0:xf numFmtId="169" fontId="8" fillId="3" borderId="0" xfId="0" applyFont="true" applyBorder="false" applyAlignment="true" applyProtection="false">
      <ns0:alignment horizontal="general" vertical="bottom" textRotation="0" wrapText="false" indent="0" shrinkToFit="false"/>
      <ns0:protection locked="true" hidden="false"/>
    </ns0:xf>
    <ns0:xf numFmtId="164" fontId="0" fillId="0" borderId="0" xfId="0" applyFont="true" applyBorder="false" applyAlignment="true" applyProtection="false">
      <ns0:alignment horizontal="general" vertical="top" textRotation="0" wrapText="true" indent="0" shrinkToFit="false"/>
      <ns0:protection locked="true" hidden="false"/>
    </ns0:xf>
    <ns0:xf numFmtId="164" fontId="0" fillId="2" borderId="0" xfId="0" applyFont="false" applyBorder="false" applyAlignment="true" applyProtection="true">
      <ns0:alignment horizontal="general" vertical="bottom" textRotation="0" wrapText="false" indent="0" shrinkToFit="false"/>
      <ns0:protection locked="false" hidden="false"/>
    </ns0:xf>
    <ns0:xf numFmtId="164" fontId="10" fillId="0" borderId="0" xfId="0" applyFont="true" applyBorder="false" applyAlignment="true" applyProtection="false">
      <ns0:alignment horizontal="general" vertical="bottom" textRotation="0" wrapText="false" indent="0" shrinkToFit="false"/>
      <ns0:protection locked="true" hidden="false"/>
    </ns0:xf>
    <ns0:xf numFmtId="164" fontId="7" fillId="0" borderId="0" xfId="0" applyFont="true" applyBorder="false" applyAlignment="true" applyProtection="false">
      <ns0:alignment horizontal="general" vertical="top" textRotation="0" wrapText="true" indent="0" shrinkToFit="false"/>
      <ns0:protection locked="true" hidden="false"/>
    </ns0:xf>
    <ns0:xf numFmtId="164" fontId="8" fillId="0" borderId="0" xfId="0" applyFont="true" applyBorder="false" applyAlignment="true" applyProtection="false">
      <ns0:alignment horizontal="general" vertical="top" textRotation="0" wrapText="true" indent="0" shrinkToFit="false"/>
      <ns0:protection locked="true" hidden="false"/>
    </ns0:xf>
    <ns0:xf numFmtId="164" fontId="8" fillId="2" borderId="0" xfId="0" applyFont="true" applyBorder="false" applyAlignment="true" applyProtection="true">
      <ns0:protection locked="false" hidden="false"/>
      <ns0:alignment horizontal="general" vertical="top" wrapText="1"/>
    </ns0:xf>
  </ns0:cellXfs>
  <ns0:cellStyles count="6">
    <ns0:cellStyle name="Normal" xfId="0" builtinId="0"/>
    <ns0:cellStyle name="Comma" xfId="15" builtinId="3"/>
    <ns0:cellStyle name="Comma [0]" xfId="16" builtinId="6"/>
    <ns0:cellStyle name="Currency" xfId="17" builtinId="4"/>
    <ns0:cellStyle name="Currency [0]" xfId="18" builtinId="7"/>
    <ns0:cellStyle name="Percent" xfId="19" builtinId="5"/>
  </ns0:cellStyles>
  <ns0:colors>
    <ns0:indexedColors>
      <ns0:rgbColor rgb="FF000000"/>
      <ns0:rgbColor rgb="FFFFFFFF"/>
      <ns0:rgbColor rgb="FFFF0000"/>
      <ns0:rgbColor rgb="FF00FF00"/>
      <ns0:rgbColor rgb="FF0000FF"/>
      <ns0:rgbColor rgb="FFFFFF00"/>
      <ns0:rgbColor rgb="FFFF00FF"/>
      <ns0:rgbColor rgb="FF00FFFF"/>
      <ns0:rgbColor rgb="FF800000"/>
      <ns0:rgbColor rgb="FF008000"/>
      <ns0:rgbColor rgb="FF000080"/>
      <ns0:rgbColor rgb="FF808000"/>
      <ns0:rgbColor rgb="FF800080"/>
      <ns0:rgbColor rgb="FF008080"/>
      <ns0:rgbColor rgb="FFBFBFBF"/>
      <ns0:rgbColor rgb="FF808080"/>
      <ns0:rgbColor rgb="FF9999FF"/>
      <ns0:rgbColor rgb="FF993366"/>
      <ns0:rgbColor rgb="FFFFF2CC"/>
      <ns0:rgbColor rgb="FFCCFFFF"/>
      <ns0:rgbColor rgb="FF660066"/>
      <ns0:rgbColor rgb="FFFF8080"/>
      <ns0:rgbColor rgb="FF0066CC"/>
      <ns0:rgbColor rgb="FFCCCCFF"/>
      <ns0:rgbColor rgb="FF000080"/>
      <ns0:rgbColor rgb="FFFF00FF"/>
      <ns0:rgbColor rgb="FFFFFF00"/>
      <ns0:rgbColor rgb="FF00FFFF"/>
      <ns0:rgbColor rgb="FF800080"/>
      <ns0:rgbColor rgb="FF800000"/>
      <ns0:rgbColor rgb="FF008080"/>
      <ns0:rgbColor rgb="FF0000FF"/>
      <ns0:rgbColor rgb="FF00CCFF"/>
      <ns0:rgbColor rgb="FFCCFFFF"/>
      <ns0:rgbColor rgb="FFE2EFDA"/>
      <ns0:rgbColor rgb="FFFFFF99"/>
      <ns0:rgbColor rgb="FF99CCFF"/>
      <ns0:rgbColor rgb="FFFF99CC"/>
      <ns0:rgbColor rgb="FFCC99FF"/>
      <ns0:rgbColor rgb="FFFFCC99"/>
      <ns0:rgbColor rgb="FF3366FF"/>
      <ns0:rgbColor rgb="FF33CCCC"/>
      <ns0:rgbColor rgb="FF99CC00"/>
      <ns0:rgbColor rgb="FFFFCC00"/>
      <ns0:rgbColor rgb="FFFF9900"/>
      <ns0:rgbColor rgb="FFFF6600"/>
      <ns0:rgbColor rgb="FF595959"/>
      <ns0:rgbColor rgb="FF969696"/>
      <ns0:rgbColor rgb="FF1F3864"/>
      <ns0:rgbColor rgb="FF339966"/>
      <ns0:rgbColor rgb="FF003300"/>
      <ns0:rgbColor rgb="FF333300"/>
      <ns0:rgbColor rgb="FF993300"/>
      <ns0:rgbColor rgb="FF993366"/>
      <ns0:rgbColor rgb="FF333399"/>
      <ns0:rgbColor rgb="FF333333"/>
    </ns0:indexedColors>
  </ns0:colors>
</ns0: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ns0:worksheet xmlns:ns0="http://schemas.openxmlformats.org/spreadsheetml/2006/main">
  <ns0:sheetPr filterMode="false">
    <ns0:pageSetUpPr fitToPage="false"/>
  </ns0:sheetPr>
  <ns0:dimension ref="A1:A13"/>
  <ns0:sheetViews>
    <ns0:sheetView showFormulas="false" showGridLines="true" showRowColHeaders="true" showZeros="true" rightToLeft="false" tabSelected="tru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1" width="120"/>
  </ns0:cols>
  <ns0:sheetData>
    <ns0:row r="1" customFormat="false" ht="17.25" hidden="false" customHeight="true" outlineLevel="0" collapsed="false">
      <ns0:c r="A1" s="2" t="s">
        <ns0:v>0</ns0:v>
      </ns0:c>
    </ns0:row>
    <ns0:row r="2" customFormat="false" ht="15" hidden="false" customHeight="true" outlineLevel="0" collapsed="false">
      <ns0:c r="A2" s="3" t="s">
        <ns0:v>1</ns0:v>
      </ns0:c>
    </ns0:row>
    <ns0:row r="4" customFormat="false" ht="15" hidden="false" customHeight="true" outlineLevel="0" collapsed="false">
      <ns0:c r="A4" s="1" t="s">
        <ns0:v>2</ns0:v>
      </ns0:c>
    </ns0:row>
    <ns0:row r="5" customFormat="false" ht="15" hidden="false" customHeight="true" outlineLevel="0" collapsed="false">
      <ns0:c r="A5" s="1" t="s">
        <ns0:v>3</ns0:v>
      </ns0:c>
    </ns0:row>
    <ns0:row r="6" customFormat="false" ht="15" hidden="false" customHeight="true" outlineLevel="0" collapsed="false">
      <ns0:c r="A6" s="1" t="s">
        <ns0:v>4</ns0:v>
      </ns0:c>
    </ns0:row>
    <ns0:row r="7" customFormat="false" ht="15" hidden="false" customHeight="true" outlineLevel="0" collapsed="false">
      <ns0:c r="A7" s="1" t="s">
        <ns0:v>5</ns0:v>
      </ns0:c>
    </ns0:row>
    <ns0:row r="8" customFormat="false" ht="15" hidden="false" customHeight="true" outlineLevel="0" collapsed="false">
      <ns0:c r="A8" s="1" t="s">
        <ns0:v>6</ns0:v>
      </ns0:c>
    </ns0:row>
    <ns0:row r="9" customFormat="false" ht="15" hidden="false" customHeight="true" outlineLevel="0" collapsed="false">
      <ns0:c r="A9" s="1" t="s">
        <ns0:v>7</ns0:v>
      </ns0:c>
    </ns0:row>
    <ns0:row r="11" customFormat="false" ht="15" hidden="false" customHeight="true" outlineLevel="0" collapsed="false">
      <ns0:c r="A11" s="1" t="s">
        <ns0:v>8</ns0:v>
      </ns0:c>
    </ns0:row>
    <ns0:row r="12" customFormat="false" ht="15" hidden="false" customHeight="true" outlineLevel="0" collapsed="false">
      <ns0:c r="A12" s="4" t="s">
        <ns0:v>9</ns0:v>
      </ns0:c>
    </ns0:row>
    <ns0:row r="13" customFormat="false" ht="15" hidden="false" customHeight="true" outlineLevel="0" collapsed="false">
      <ns0:c r="A13" s="5" t="s">
        <ns0:v>10</ns0:v>
      </ns0:c>
    </ns0:row>
  </ns0:sheetData>
  <ns0:sheetProtection sheet="true" formatColumns="false" formatRows="false"/>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2.xml><?xml version="1.0" encoding="utf-8"?>
<ns0:worksheet xmlns:ns0="http://schemas.openxmlformats.org/spreadsheetml/2006/main">
  <ns0:sheetPr filterMode="false">
    <ns0:pageSetUpPr fitToPage="false"/>
  </ns0:sheetPr>
  <ns0:dimension ref="A1:E13"/>
  <ns0:sheetViews>
    <ns0:sheetView showFormulas="false" showGridLines="tru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1" width="52"/>
    <ns0:col collapsed="false" customWidth="true" hidden="false" outlineLevel="0" max="2" min="2" style="1" width="14"/>
    <ns0:col collapsed="false" customWidth="true" hidden="false" outlineLevel="0" max="4" min="3" style="1" width="46"/>
    <ns0:col collapsed="false" customWidth="true" hidden="false" outlineLevel="0" max="5" min="5" style="1" width="36"/>
  </ns0:cols>
  <ns0:sheetData>
    <ns0:row r="1" customFormat="false" ht="17.25" hidden="false" customHeight="true" outlineLevel="0" collapsed="false">
      <ns0:c r="A1" s="2" t="s">
        <ns0:v>11</ns0:v>
      </ns0:c>
    </ns0:row>
    <ns0:row r="2" customFormat="false" ht="15" hidden="false" customHeight="true" outlineLevel="0" collapsed="false">
      <ns0:c r="A2" s="3" t="s">
        <ns0:v>12</ns0:v>
      </ns0:c>
    </ns0:row>
    <ns0:row r="4" customFormat="false" ht="26.25" hidden="false" customHeight="true" outlineLevel="0" collapsed="false">
      <ns0:c r="A4" s="6" t="s">
        <ns0:v>13</ns0:v>
      </ns0:c>
      <ns0:c r="B4" s="6" t="s">
        <ns0:v>14</ns0:v>
      </ns0:c>
      <ns0:c r="C4" s="6" t="s">
        <ns0:v>15</ns0:v>
      </ns0:c>
      <ns0:c r="D4" s="6" t="s">
        <ns0:v>16</ns0:v>
      </ns0:c>
      <ns0:c r="E4" s="6" t="s">
        <ns0:v>17</ns0:v>
      </ns0:c>
    </ns0:row>
    <ns0:row r="5" customFormat="false" ht="85" hidden="false" customHeight="1" outlineLevel="0" collapsed="false">
      <ns0:c r="A5" s="7" t="s">
        <ns0:v>18</ns0:v>
      </ns0:c>
      <ns0:c r="B5" s="8" t="str">
        <ns0:v>Có</ns0:v>
      </ns0:c>
      <ns0:c r="C5" s="7" t="s">
        <ns0:v>19</ns0:v>
      </ns0:c>
      <ns0:c r="D5" s="7" t="s">
        <ns0:v>20</ns0:v>
      </ns0:c>
      <ns0:c r="E5" s="8" t="str">
        <ns0:v>Tennhombimat. Nguyễn Anh Dũng. MSSV 2A202602554. Hồ sơ tr.6–7: 2.968 + 1.200 đ/bản, 15 triệu/1.200 bản. Số liệu thuộc tình huống giả định.</ns0:v>
      </ns0:c>
    </ns0:row>
    <ns0:row r="6" customFormat="false" ht="85" hidden="false" customHeight="1" outlineLevel="0" collapsed="false">
      <ns0:c r="A6" s="7" t="s">
        <ns0:v>21</ns0:v>
      </ns0:c>
      <ns0:c r="B6" s="8" t="str">
        <ns0:v>Có</ns0:v>
      </ns0:c>
      <ns0:c r="C6" s="7" t="s">
        <ns0:v>22</ns0:v>
      </ns0:c>
      <ns0:c r="D6" s="7" t="s">
        <ns0:v>23</ns0:v>
      </ns0:c>
      <ns0:c r="E6" s="8" t="str">
        <ns0:v>Nhóm một thành viên. Nguyễn Anh Dũng phụ trách CP0–CP5. Một việc = một bản nháp cho một người bệnh. BS bệnh viện đọc, sửa và ký 100%.</ns0:v>
      </ns0:c>
    </ns0:row>
    <ns0:row r="7" customFormat="false" ht="85" hidden="false" customHeight="1" outlineLevel="0" collapsed="false">
      <ns0:c r="A7" s="7" t="s">
        <ns0:v>24</ns0:v>
      </ns0:c>
      <ns0:c r="B7" s="8" t="str">
        <ns0:v>Có</ns0:v>
      </ns0:c>
      <ns0:c r="C7" s="7" t="s">
        <ns0:v>25</ns0:v>
      </ns0:c>
      <ns0:c r="D7" s="7" t="s">
        <ns0:v>26</ns0:v>
      </ns0:c>
      <ns0:c r="E7" s="8" t="str">
        <ns0:v>Đánh giá đủ sáu công việc gợi ý. Các ngưỡng bổ sung là mục tiêu kiểm chứng, chưa phải kết quả đo.</ns0:v>
      </ns0:c>
    </ns0:row>
    <ns0:row r="8" customFormat="false" ht="85" hidden="false" customHeight="1" outlineLevel="0" collapsed="false">
      <ns0:c r="A8" s="7" t="s">
        <ns0:v>27</ns0:v>
      </ns0:c>
      <ns0:c r="B8" s="8" t="str">
        <ns0:v>Có</ns0:v>
      </ns0:c>
      <ns0:c r="C8" s="7" t="s">
        <ns0:v>28</ns0:v>
      </ns0:c>
      <ns0:c r="D8" s="7" t="s">
        <ns0:v>29</ns0:v>
      </ns0:c>
      <ns0:c r="E8" s="8" t="str">
        <ns0:v>40 hồ sơ: đạt 96,6%, kappa 0,90 nhưng 1 lỗi insulin; CHƯA phát hành. Thêm 5 ca, sửa và chạy lại toàn bộ 45 ca.</ns0:v>
      </ns0:c>
    </ns0:row>
    <ns0:row r="9" customFormat="false" ht="85" hidden="false" customHeight="1" outlineLevel="0" collapsed="false">
      <ns0:c r="A9" s="7" t="s">
        <ns0:v>30</ns0:v>
      </ns0:c>
      <ns0:c r="B9" s="8" t="str">
        <ns0:v>Có</ns0:v>
      </ns0:c>
      <ns0:c r="C9" s="7" t="s">
        <ns0:v>31</ns0:v>
      </ns0:c>
      <ns0:c r="D9" s="7" t="s">
        <ns0:v>32</ns0:v>
      </ns0:c>
      <ns0:c r="E9" s="8" t="str">
        <ns0:v>40 ca cần 20,3 giờ chuyên gia. Giả định lập kế hoạch: BS chấm đánh giá 2 giờ/tuần, DS 4 giờ/tuần; 5 ca insulin dự trù thêm 4 giờ tổng. Lịch thực hiện xác nhận trước pilot.</ns0:v>
      </ns0:c>
    </ns0:row>
    <ns0:row r="10" customFormat="false" ht="85" hidden="false" customHeight="1" outlineLevel="0" collapsed="false">
      <ns0:c r="A10" s="7" t="s">
        <ns0:v>33</ns0:v>
      </ns0:c>
      <ns0:c r="B10" s="8" t="str">
        <ns0:v>Có</ns0:v>
      </ns0:c>
      <ns0:c r="C10" s="7" t="s">
        <ns0:v>34</ns0:v>
      </ns0:c>
      <ns0:c r="D10" s="7" t="s">
        <ns0:v>35</ns0:v>
      </ns0:c>
      <ns0:c r="E10" s="8" t="str">
        <ns0:v>Dược sĩ công ty tính chi phí; BS bệnh viện không tính. Mức 3 không làm. Nguồn: hồ sơ tr.6–7; CHECKPOINTS CP1–CP5.</ns0:v>
      </ns0:c>
    </ns0:row>
    <ns0:row r="12" customFormat="false" ht="15" hidden="false" customHeight="true" outlineLevel="0" collapsed="false">
      <ns0:c r="A12" s="9" t="s">
        <ns0:v>36</ns0:v>
      </ns0:c>
      <ns0:c r="B12" s="5" t="n">
        <ns0:f aca="false">COUNTIF(B5:B10,"Có")</ns0:f>
        <ns0:v>6</ns0:v>
      </ns0:c>
    </ns0:row>
    <ns0:row r="13" customFormat="false" ht="15" hidden="false" customHeight="true" outlineLevel="0" collapsed="false">
      <ns0:c r="A13" s="3" t="s">
        <ns0:v>37</ns0:v>
      </ns0:c>
    </ns0:row>
  </ns0:sheetData>
  <ns0:sheetProtection sheet="true" formatColumns="false" formatRows="false"/>
  <ns0:dataValidations count="1">
    <ns0:dataValidation allowBlank="true" errorStyle="stop" operator="between" showDropDown="false" showErrorMessage="false" showInputMessage="false" sqref="B5:B10" type="list">
      <ns0:formula1>"Có,Chưa"</ns0:formula1>
      <ns0:formula2>0</ns0:formula2>
    </ns0:dataValidation>
  </ns0:dataValidations>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3.xml><?xml version="1.0" encoding="utf-8"?>
<ns0:worksheet xmlns:ns0="http://schemas.openxmlformats.org/spreadsheetml/2006/main">
  <ns0:sheetPr filterMode="false">
    <ns0:pageSetUpPr fitToPage="false"/>
  </ns0:sheetPr>
  <ns0:dimension ref="A1:Q14"/>
  <ns0:sheetViews>
    <ns0:sheetView showFormulas="false" showGridLines="tru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1" width="4"/>
    <ns0:col collapsed="false" customWidth="true" hidden="false" outlineLevel="0" max="2" min="2" style="1" width="30"/>
    <ns0:col collapsed="false" customWidth="true" hidden="false" outlineLevel="0" max="3" min="3" style="1" width="28"/>
    <ns0:col collapsed="false" customWidth="true" hidden="false" outlineLevel="0" max="4" min="4" style="1" width="38"/>
    <ns0:col collapsed="false" customWidth="true" hidden="false" outlineLevel="0" max="5" min="5" style="1" width="32"/>
    <ns0:col collapsed="false" customWidth="true" hidden="false" outlineLevel="0" max="7" min="6" style="1" width="8"/>
    <ns0:col collapsed="false" customWidth="true" hidden="false" outlineLevel="0" max="8" min="8" style="1" width="11"/>
    <ns0:col collapsed="false" customWidth="true" hidden="false" outlineLevel="0" max="9" min="9" style="1" width="8"/>
    <ns0:col collapsed="false" customWidth="true" hidden="false" outlineLevel="0" max="10" min="10" style="1" width="11"/>
    <ns0:col collapsed="false" customWidth="true" hidden="false" outlineLevel="0" max="11" min="11" style="1" width="10"/>
    <ns0:col collapsed="false" customWidth="true" hidden="false" outlineLevel="0" max="12" min="12" style="1" width="13"/>
    <ns0:col collapsed="false" customWidth="true" hidden="false" outlineLevel="0" max="14" min="13" style="1" width="10"/>
    <ns0:col collapsed="false" customWidth="true" hidden="false" outlineLevel="0" max="15" min="15" style="1" width="12"/>
    <ns0:col collapsed="false" customWidth="true" hidden="false" outlineLevel="0" max="16" min="16" style="1" width="14"/>
    <ns0:col collapsed="false" customWidth="true" hidden="false" outlineLevel="0" max="17" min="17" style="1" width="58"/>
  </ns0:cols>
  <ns0:sheetData>
    <ns0:row r="1" customFormat="false" ht="17.25" hidden="false" customHeight="true" outlineLevel="0" collapsed="false">
      <ns0:c r="A1" s="2" t="s">
        <ns0:v>38</ns0:v>
      </ns0:c>
    </ns0:row>
    <ns0:row r="2" customFormat="false" ht="15" hidden="false" customHeight="true" outlineLevel="0" collapsed="false">
      <ns0:c r="A2" s="3" t="s">
        <ns0:v>39</ns0:v>
      </ns0:c>
    </ns0:row>
    <ns0:row r="4" customFormat="false" ht="85" hidden="false" customHeight="1" outlineLevel="0" collapsed="false">
      <ns0:c r="A4" s="10" t="s">
        <ns0:v>40</ns0:v>
      </ns0:c>
      <ns0:c r="B4" s="10" t="s">
        <ns0:v>41</ns0:v>
      </ns0:c>
      <ns0:c r="C4" s="10" t="s">
        <ns0:v>42</ns0:v>
      </ns0:c>
      <ns0:c r="D4" s="10" t="s">
        <ns0:v>43</ns0:v>
      </ns0:c>
      <ns0:c r="E4" s="10" t="s">
        <ns0:v>44</ns0:v>
      </ns0:c>
      <ns0:c r="F4" s="10" t="s">
        <ns0:v>45</ns0:v>
      </ns0:c>
      <ns0:c r="G4" s="10" t="s">
        <ns0:v>46</ns0:v>
      </ns0:c>
      <ns0:c r="H4" s="10" t="s">
        <ns0:v>47</ns0:v>
      </ns0:c>
      <ns0:c r="I4" s="10" t="s">
        <ns0:v>48</ns0:v>
      </ns0:c>
      <ns0:c r="J4" s="10" t="s">
        <ns0:v>49</ns0:v>
      </ns0:c>
      <ns0:c r="K4" s="10" t="s">
        <ns0:v>50</ns0:v>
      </ns0:c>
      <ns0:c r="L4" s="10" t="s">
        <ns0:v>51</ns0:v>
      </ns0:c>
      <ns0:c r="M4" s="10" t="s">
        <ns0:v>52</ns0:v>
      </ns0:c>
      <ns0:c r="N4" s="10" t="s">
        <ns0:v>53</ns0:v>
      </ns0:c>
      <ns0:c r="O4" s="10" t="s">
        <ns0:v>54</ns0:v>
      </ns0:c>
      <ns0:c r="P4" s="10" t="s">
        <ns0:v>55</ns0:v>
      </ns0:c>
      <ns0:c r="Q4" s="10" t="s">
        <ns0:v>56</ns0:v>
      </ns0:c>
    </ns0:row>
    <ns0:row r="5" customFormat="false" ht="145" hidden="false" customHeight="1" outlineLevel="0" collapsed="false">
      <ns0:c r="A5" s="11" t="n">
        <ns0:v>1</ns0:v>
      </ns0:c>
      <ns0:c r="B5" s="8" t="str">
        <ns0:v>Soạn nháp diễn biến và chẩn đoán từ hồ sơ</ns0:v>
      </ns0:c>
      <ns0:c r="C5" s="8" t="str">
        <ns0:v>Bác sĩ bớt 2/3 thời gian viết tóm tắt</ns0:v>
      </ns0:c>
      <ns0:c r="D5" s="8" t="str">
        <ns0:v>Ta tin rằng nháp có dẫn nguồn giúp BS khoa nội giảm 2/3 thời gian hoàn tất, gồm đọc, sửa và ký.</ns0:v>
      </ns0:c>
      <ns0:c r="E5" s="8" t="str">
        <ns0:v>Đề xuất: trung vị thời gian ≤ 1/3 nền 15–20 phút, đo cặp ≥100 bản; sửa nhiều ≤30%/300 bản tháng 3.</ns0:v>
      </ns0:c>
      <ns0:c r="F5" s="8" t="n">
        <ns0:v>5</ns0:v>
      </ns0:c>
      <ns0:c r="G5" s="8" t="n">
        <ns0:v>5</ns0:v>
      </ns0:c>
      <ns0:c r="H5" s="8" t="n">
        <ns0:v>0.8</ns0:v>
      </ns0:c>
      <ns0:c r="I5" s="8" t="n">
        <ns0:v>4</ns0:v>
      </ns0:c>
      <ns0:c r="J5" s="8" t="n">
        <ns0:v>0.8</ns0:v>
      </ns0:c>
      <ns0:c r="K5" s="8" t="n">
        <ns0:v>0.8</ns0:v>
      </ns0:c>
      <ns0:c r="L5" s="8" t="n">
        <ns0:v>0.5</ns0:v>
      </ns0:c>
      <ns0:c r="M5" s="12" t="n">
        <ns0:f aca="false">IF(COUNT(F5:L5)&lt;7,"",ROUND(F5*G5*H5/I5*(0.5+0.5*AVERAGE(J5:K5))*(1-0.5*L5),2))</ns0:f>
        <ns0:v>3.38</ns0:v>
      </ns0:c>
      <ns0:c r="N5" s="12" t="n">
        <ns0:f aca="false">IF(M5="","",RANK(M5,$M$5:$M$14))</ns0:f>
        <ns0:v>3</ns0:v>
      </ns0:c>
      <ns0:c r="O5" s="13" t="str">
        <ns0:f aca="false">IF(B5="","",IF(OR(D5="",E5=""),"Thiếu",IF(SUMPRODUCT(--ISNUMBER(SEARCH({"0","1","2","3","4","5","6","7","8","9"},E5)))&gt;0,"Có","Thiếu")))</ns0:f>
        <ns0:v>Có</ns0:v>
      </ns0:c>
      <ns0:c r="P5" s="14" t="str">
        <ns0:v>Tự làm</ns0:v>
      </ns0:c>
      <ns0:c r="Q5" s="32" t="str">
        <ns0:v>Có 40 hồ sơ nhưng chưa phát hành; sẵn sàng 0,8 phản ánh lỗi còn mở. Giá trị nằm ở tích hợp và dẫn nguồn. Rủi ro thay thế L=0,5 do viết nháp có thể thành chức năng phổ biến; đây là giả định chiến lược. Triển khai sau chặn lỗi thuốc.</ns0:v>
      </ns0:c>
    </ns0:row>
    <ns0:row r="6" customFormat="false" ht="145" hidden="false" customHeight="1" outlineLevel="0" collapsed="false">
      <ns0:c r="A6" s="11" t="n">
        <ns0:v>2</ns0:v>
      </ns0:c>
      <ns0:c r="B6" s="8" t="str">
        <ns0:v>Đối chiếu thuốc ra viện với y lệnh cuối</ns0:v>
      </ns0:c>
      <ns0:c r="C6" s="8" t="str">
        <ns0:v>Không sai thuốc khi ra viện</ns0:v>
      </ns0:c>
      <ns0:c r="D6" s="8" t="str">
        <ns0:v>Ta tin rằng đối chiếu tên, liều, đường và thời điểm với y lệnh cuối sẽ chặn lỗi thuốc trước khi BS ký.</ns0:v>
      </ns0:c>
      <ns0:c r="E6" s="8" t="str">
        <ns0:v>0 lỗi nghiêm trọng/45 ca hồi quy gồm 5 ca insulin mới; đạt quy thực tế ≥95%, kappa ≥0,8, 0 tầng tụt; 0 lỗi lọt đến người bệnh.</ns0:v>
      </ns0:c>
      <ns0:c r="F6" s="8" t="n">
        <ns0:v>5</ns0:v>
      </ns0:c>
      <ns0:c r="G6" s="8" t="n">
        <ns0:v>5</ns0:v>
      </ns0:c>
      <ns0:c r="H6" s="8" t="n">
        <ns0:v>1</ns0:v>
      </ns0:c>
      <ns0:c r="I6" s="8" t="n">
        <ns0:v>3</ns0:v>
      </ns0:c>
      <ns0:c r="J6" s="8" t="n">
        <ns0:v>0.8</ns0:v>
      </ns0:c>
      <ns0:c r="K6" s="8" t="n">
        <ns0:v>0.9</ns0:v>
      </ns0:c>
      <ns0:c r="L6" s="8" t="n">
        <ns0:v>0.2</ns0:v>
      </ns0:c>
      <ns0:c r="M6" s="12" t="n">
        <ns0:f aca="false">IF(COUNT(F6:L6)&lt;7,"",ROUND(F6*G6*H6/I6*(0.5+0.5*AVERAGE(J6:K6))*(1-0.5*L6),2))</ns0:f>
        <ns0:v>6.94</ns0:v>
      </ns0:c>
      <ns0:c r="N6" s="12" t="n">
        <ns0:f aca="false">IF(M6="","",RANK(M6,$M$5:$M$14))</ns0:f>
        <ns0:v>1</ns0:v>
      </ns0:c>
      <ns0:c r="O6" s="13" t="str">
        <ns0:f aca="false">IF(B6="","",IF(OR(D6="",E6=""),"Thiếu",IF(SUMPRODUCT(--ISNUMBER(SEARCH({"0","1","2","3","4","5","6","7","8","9"},E6)))&gt;0,"Có","Thiếu")))</ns0:f>
        <ns0:v>Có</ns0:v>
      </ns0:c>
      <ns0:c r="P6" s="14" t="str">
        <ns0:v>Tự làm</ns0:v>
      </ns0:c>
      <ns0:c r="Q6" s="32" t="str">
        <ns0:v>Ưu tiên an toàn: đã có lỗi insulin sáng/tối. Bộ đề cần bổ sung 5 ca. L=0,2 vì đối chiếu y lệnh và kiểm chứng quy trình địa phương khó thay bằng chức năng chung. Chỉ mở pilot sau cổng hồi quy.</ns0:v>
      </ns0:c>
    </ns0:row>
    <ns0:row r="7" customFormat="false" ht="145" hidden="false" customHeight="1" outlineLevel="0" collapsed="false">
      <ns0:c r="A7" s="11" t="n">
        <ns0:v>3</ns0:v>
      </ns0:c>
      <ns0:c r="B7" s="8" t="str">
        <ns0:v>Đánh dấu hồ sơ mâu thuẫn cho bác sĩ</ns0:v>
      </ns0:c>
      <ns0:c r="C7" s="8" t="str">
        <ns0:v>Ca khó không bị viết như ca thường</ns0:v>
      </ns0:c>
      <ns0:c r="D7" s="8" t="str">
        <ns0:v>Ta tin rằng gắn cờ thiếu hoặc mâu thuẫn nguồn giúp BS nhận ra ca khó trước khi dùng bản nháp.</ns0:v>
      </ns0:c>
      <ns0:c r="E7" s="8" t="str">
        <ns0:v>Đề xuất: phát hiện 100% mâu thuẫn nguy hiểm/≥20 ca thử riêng; cờ thừa ≤20%/100 ca thường. Ca ngoài phạm vi luôn chuyển BS.</ns0:v>
      </ns0:c>
      <ns0:c r="F7" s="8" t="n">
        <ns0:v>5</ns0:v>
      </ns0:c>
      <ns0:c r="G7" s="8" t="n">
        <ns0:v>5</ns0:v>
      </ns0:c>
      <ns0:c r="H7" s="8" t="n">
        <ns0:v>0.8</ns0:v>
      </ns0:c>
      <ns0:c r="I7" s="8" t="n">
        <ns0:v>3</ns0:v>
      </ns0:c>
      <ns0:c r="J7" s="8" t="n">
        <ns0:v>0.7</ns0:v>
      </ns0:c>
      <ns0:c r="K7" s="8" t="n">
        <ns0:v>0.7</ns0:v>
      </ns0:c>
      <ns0:c r="L7" s="8" t="n">
        <ns0:v>0.3</ns0:v>
      </ns0:c>
      <ns0:c r="M7" s="12" t="n">
        <ns0:f aca="false">IF(COUNT(F7:L7)&lt;7,"",ROUND(F7*G7*H7/I7*(0.5+0.5*AVERAGE(J7:K7))*(1-0.5*L7),2))</ns0:f>
        <ns0:v>4.82</ns0:v>
      </ns0:c>
      <ns0:c r="N7" s="12" t="n">
        <ns0:f aca="false">IF(M7="","",RANK(M7,$M$5:$M$14))</ns0:f>
        <ns0:v>2</ns0:v>
      </ns0:c>
      <ns0:c r="O7" s="13" t="str">
        <ns0:f aca="false">IF(B7="","",IF(OR(D7="",E7=""),"Thiếu",IF(SUMPRODUCT(--ISNUMBER(SEARCH({"0","1","2","3","4","5","6","7","8","9"},E7)))&gt;0,"Có","Thiếu")))</ns0:f>
        <ns0:v>Có</ns0:v>
      </ns0:c>
      <ns0:c r="P7" s="14" t="str">
        <ns0:v>Tự làm</ns0:v>
      </ns0:c>
      <ns0:c r="Q7" s="32" t="str">
        <ns0:v>Bộ 40 ca có bốn tầng nhưng chưa rõ số ca mâu thuẫn, nên J/K=0,7. Ưu tiên trước nháp đại trà theo điều kiện an toàn. L=0,3 do cần kết nối và kiểm chứng nguồn. Ngưỡng/cỡ mẫu bổ sung là đề xuất.</ns0:v>
      </ns0:c>
    </ns0:row>
    <ns0:row r="8" customFormat="false" ht="145" hidden="false" customHeight="1" outlineLevel="0" collapsed="false">
      <ns0:c r="A8" s="11" t="n">
        <ns0:v>4</ns0:v>
      </ns0:c>
      <ns0:c r="B8" s="8" t="str">
        <ns0:v>Lời dặn dễ hiểu cho người bệnh</ns0:v>
      </ns0:c>
      <ns0:c r="C8" s="8" t="str">
        <ns0:v>Người bệnh làm đúng lời dặn</ns0:v>
      </ns0:c>
      <ns0:c r="D8" s="8" t="str">
        <ns0:v>Ta tin rằng diễn đạt lại lời dặn đã được BS duyệt giúp người bệnh hiểu lại đúng mà không thêm chỉ định.</ns0:v>
      </ns0:c>
      <ns0:c r="E8" s="8" t="str">
        <ns0:v>Đề xuất khi đủ điều kiện: ≥90%/50 lượt nhắc lại đúng 3 ý BS chọn; 0 nội dung mới sai/50 bản, BS duyệt 100%.</ns0:v>
      </ns0:c>
      <ns0:c r="F8" s="8" t="n">
        <ns0:v>4</ns0:v>
      </ns0:c>
      <ns0:c r="G8" s="8" t="n">
        <ns0:v>3</ns0:v>
      </ns0:c>
      <ns0:c r="H8" s="8" t="n">
        <ns0:v>0.5</ns0:v>
      </ns0:c>
      <ns0:c r="I8" s="8" t="n">
        <ns0:v>2</ns0:v>
      </ns0:c>
      <ns0:c r="J8" s="8" t="n">
        <ns0:v>0.6</ns0:v>
      </ns0:c>
      <ns0:c r="K8" s="8" t="n">
        <ns0:v>0.3</ns0:v>
      </ns0:c>
      <ns0:c r="L8" s="8" t="n">
        <ns0:v>0.9</ns0:v>
      </ns0:c>
      <ns0:c r="M8" s="12" t="n">
        <ns0:f aca="false">IF(COUNT(F8:L8)&lt;7,"",ROUND(F8*G8*H8/I8*(0.5+0.5*AVERAGE(J8:K8))*(1-0.5*L8),2))</ns0:f>
        <ns0:v>1.2</ns0:v>
      </ns0:c>
      <ns0:c r="N8" s="12" t="n">
        <ns0:f aca="false">IF(M8="","",RANK(M8,$M$5:$M$14))</ns0:f>
        <ns0:v>5</ns0:v>
      </ns0:c>
      <ns0:c r="O8" s="13" t="str">
        <ns0:f aca="false">IF(B8="","",IF(OR(D8="",E8=""),"Thiếu",IF(SUMPRODUCT(--ISNUMBER(SEARCH({"0","1","2","3","4","5","6","7","8","9"},E8)))&gt;0,"Có","Thiếu")))</ns0:f>
        <ns0:v>Có</ns0:v>
      </ns0:c>
      <ns0:c r="P8" s="14" t="str">
        <ns0:v>Chờ</ns0:v>
      </ns0:c>
      <ns0:c r="Q8" s="32" t="str">
        <ns0:v>Diễn đạt dễ hiểu có thể trở thành chức năng phổ biến (L=0,9), nhưng khả năng hiểu và tuân thủ cần kiểm chứng. Chưa có bộ đánh giá riêng nên K=0,3. Xem lại tháng 6 sau khi nháp cốt lõi an toàn.</ns0:v>
      </ns0:c>
    </ns0:row>
    <ns0:row r="9" customFormat="false" ht="145" hidden="false" customHeight="1" outlineLevel="0" collapsed="false">
      <ns0:c r="A9" s="11" t="n">
        <ns0:v>5</ns0:v>
      </ns0:c>
      <ns0:c r="B9" s="8" t="str">
        <ns0:v>Tóm tắt hồ sơ khi chuyển khoa</ns0:v>
      </ns0:c>
      <ns0:c r="C9" s="8" t="str">
        <ns0:v>Khoa nhận nắm ca nhanh hơn</ns0:v>
      </ns0:c>
      <ns0:c r="D9" s="8" t="str">
        <ns0:v>Ta tin rằng nháp bàn giao có dẫn nguồn giúp BS khoa nhận nắm ca nhanh hơn nếu có bộ đề riêng.</ns0:v>
      </ns0:c>
      <ns0:c r="E9" s="8" t="str">
        <ns0:v>Đề xuất: bộ đề chuyển khoa ≥40 ca trước pilot; giảm trung vị thời gian nắm ca ≥30%/50 ca, 0 bỏ sót nguy hiểm.</ns0:v>
      </ns0:c>
      <ns0:c r="F9" s="8" t="n">
        <ns0:v>2</ns0:v>
      </ns0:c>
      <ns0:c r="G9" s="8" t="n">
        <ns0:v>4</ns0:v>
      </ns0:c>
      <ns0:c r="H9" s="8" t="n">
        <ns0:v>0.5</ns0:v>
      </ns0:c>
      <ns0:c r="I9" s="8" t="n">
        <ns0:v>4</ns0:v>
      </ns0:c>
      <ns0:c r="J9" s="8" t="n">
        <ns0:v>0.3</ns0:v>
      </ns0:c>
      <ns0:c r="K9" s="8" t="n">
        <ns0:v>0.1</ns0:v>
      </ns0:c>
      <ns0:c r="L9" s="8" t="n">
        <ns0:v>0.4</ns0:v>
      </ns0:c>
      <ns0:c r="M9" s="12" t="n">
        <ns0:f aca="false">IF(COUNT(F9:L9)&lt;7,"",ROUND(F9*G9*H9/I9*(0.5+0.5*AVERAGE(J9:K9))*(1-0.5*L9),2))</ns0:f>
        <ns0:v>0.48</ns0:v>
      </ns0:c>
      <ns0:c r="N9" s="12" t="n">
        <ns0:f aca="false">IF(M9="","",RANK(M9,$M$5:$M$14))</ns0:f>
        <ns0:v>6</ns0:v>
      </ns0:c>
      <ns0:c r="O9" s="13" t="str">
        <ns0:f aca="false">IF(B9="","",IF(OR(D9="",E9=""),"Thiếu",IF(SUMPRODUCT(--ISNUMBER(SEARCH({"0","1","2","3","4","5","6","7","8","9"},E9)))&gt;0,"Có","Thiếu")))</ns0:f>
        <ns0:v>Có</ns0:v>
      </ns0:c>
      <ns0:c r="P9" s="14" t="str">
        <ns0:v>Chờ</ns0:v>
      </ns0:c>
      <ns0:c r="Q9" s="32" t="str">
        <ns0:v>Chưa có bộ đề chuyển khoa. J=0,3, K=0,1 do khác phạm vi ra viện. Khám phá tháng 6–12 sau hợp đồng và cổng riêng; không dùng 45 ca ra viện để phê duyệt. L=0,4 là ước lượng chiến lược cần xem lại.</ns0:v>
      </ns0:c>
    </ns0:row>
    <ns0:row r="10" customFormat="false" ht="145" hidden="false" customHeight="1" outlineLevel="0" collapsed="false">
      <ns0:c r="A10" s="11" t="n">
        <ns0:v>6</ns0:v>
      </ns0:c>
      <ns0:c r="B10" s="8" t="str">
        <ns0:v>Mã hoá bệnh cho thanh toán bảo hiểm</ns0:v>
      </ns0:c>
      <ns0:c r="C10" s="8" t="str">
        <ns0:v>Bớt giờ của phòng kế hoạch</ns0:v>
      </ns0:c>
      <ns0:c r="D10" s="8" t="str">
        <ns0:v>Ta tin rằng tận dụng phần mềm chuyên dụng sẵn có tránh xây trùng và vẫn giảm giờ xử lý mã.</ns0:v>
      </ns0:c>
      <ns0:c r="E10" s="8" t="str">
        <ns0:v>Nếu tích hợp: giảm ≥30% thời gian/50 hồ sơ so với hiện tại; 100% mã do nhân sự có thẩm quyền xác nhận.</ns0:v>
      </ns0:c>
      <ns0:c r="F10" s="8" t="n">
        <ns0:v>3</ns0:v>
      </ns0:c>
      <ns0:c r="G10" s="8" t="n">
        <ns0:v>3</ns0:v>
      </ns0:c>
      <ns0:c r="H10" s="8" t="n">
        <ns0:v>0.8</ns0:v>
      </ns0:c>
      <ns0:c r="I10" s="8" t="n">
        <ns0:v>2</ns0:v>
      </ns0:c>
      <ns0:c r="J10" s="8" t="n">
        <ns0:v>0.7</ns0:v>
      </ns0:c>
      <ns0:c r="K10" s="8" t="n">
        <ns0:v>0.5</ns0:v>
      </ns0:c>
      <ns0:c r="L10" s="8" t="n">
        <ns0:v>1</ns0:v>
      </ns0:c>
      <ns0:c r="M10" s="12" t="n">
        <ns0:f aca="false">IF(COUNT(F10:L10)&lt;7,"",ROUND(F10*G10*H10/I10*(0.5+0.5*AVERAGE(J10:K10))*(1-0.5*L10),2))</ns0:f>
        <ns0:v>1.44</ns0:v>
      </ns0:c>
      <ns0:c r="N10" s="12" t="n">
        <ns0:f aca="false">IF(M10="","",RANK(M10,$M$5:$M$14))</ns0:f>
        <ns0:v>4</ns0:v>
      </ns0:c>
      <ns0:c r="O10" s="13" t="str">
        <ns0:f aca="false">IF(B10="","",IF(OR(D10="",E10=""),"Thiếu",IF(SUMPRODUCT(--ISNUMBER(SEARCH({"0","1","2","3","4","5","6","7","8","9"},E10)))&gt;0,"Có","Thiếu")))</ns0:f>
        <ns0:v>Có</ns0:v>
      </ns0:c>
      <ns0:c r="P10" s="14" t="str">
        <ns0:v>Không làm</ns0:v>
      </ns0:c>
      <ns0:c r="Q10" s="32" t="str">
        <ns0:v>Không tự xây vì bệnh viện đã có phần mềm mã hoá chuyên dụng. Dù điểm cao hơn chuyển khoa, loại do trùng sản phẩm và ngoài trọng tâm. L=1 là rủi ro thay thế đã có căn cứ trong hồ sơ. Tái sử dụng đầu ra hiện có nếu cần, chưa phát sinh mua mới.</ns0:v>
      </ns0:c>
    </ns0:row>
    <ns0:row r="11" customFormat="false" ht="15" hidden="false" customHeight="true" outlineLevel="0" collapsed="false">
      <ns0:c r="A11" s="11" t="n">
        <ns0:v>7</ns0:v>
      </ns0:c>
      <ns0:c r="B11" s="8"/>
      <ns0:c r="C11" s="8"/>
      <ns0:c r="D11" s="8"/>
      <ns0:c r="E11" s="8"/>
      <ns0:c r="F11" s="8"/>
      <ns0:c r="G11" s="8"/>
      <ns0:c r="H11" s="8"/>
      <ns0:c r="I11" s="8"/>
      <ns0:c r="J11" s="8"/>
      <ns0:c r="K11" s="8"/>
      <ns0:c r="L11" s="8"/>
      <ns0:c r="M11" s="12" t="str">
        <ns0:f aca="false">IF(COUNT(F11:L11)&lt;7,"",ROUND(F11*G11*H11/I11*(0.5+0.5*AVERAGE(J11:K11))*(1-0.5*L11),2))</ns0:f>
        <ns0:v/>
      </ns0:c>
      <ns0:c r="N11" s="12" t="str">
        <ns0:f aca="false">IF(M11="","",RANK(M11,$M$5:$M$14))</ns0:f>
        <ns0:v/>
      </ns0:c>
      <ns0:c r="O11" s="13" t="str">
        <ns0:f aca="false">IF(B11="","",IF(OR(D11="",E11=""),"Thiếu",IF(SUMPRODUCT(--ISNUMBER(SEARCH({"0","1","2","3","4","5","6","7","8","9"},E11)))&gt;0,"Có","Thiếu")))</ns0:f>
        <ns0:v/>
      </ns0:c>
      <ns0:c r="P11" s="14"/>
      <ns0:c r="Q11" s="14"/>
    </ns0:row>
    <ns0:row r="12" customFormat="false" ht="15" hidden="false" customHeight="true" outlineLevel="0" collapsed="false">
      <ns0:c r="A12" s="11" t="n">
        <ns0:v>8</ns0:v>
      </ns0:c>
      <ns0:c r="B12" s="8"/>
      <ns0:c r="C12" s="8"/>
      <ns0:c r="D12" s="8"/>
      <ns0:c r="E12" s="8"/>
      <ns0:c r="F12" s="8"/>
      <ns0:c r="G12" s="8"/>
      <ns0:c r="H12" s="8"/>
      <ns0:c r="I12" s="8"/>
      <ns0:c r="J12" s="8"/>
      <ns0:c r="K12" s="8"/>
      <ns0:c r="L12" s="8"/>
      <ns0:c r="M12" s="12" t="str">
        <ns0:f aca="false">IF(COUNT(F12:L12)&lt;7,"",ROUND(F12*G12*H12/I12*(0.5+0.5*AVERAGE(J12:K12))*(1-0.5*L12),2))</ns0:f>
        <ns0:v/>
      </ns0:c>
      <ns0:c r="N12" s="12" t="str">
        <ns0:f aca="false">IF(M12="","",RANK(M12,$M$5:$M$14))</ns0:f>
        <ns0:v/>
      </ns0:c>
      <ns0:c r="O12" s="13" t="str">
        <ns0:f aca="false">IF(B12="","",IF(OR(D12="",E12=""),"Thiếu",IF(SUMPRODUCT(--ISNUMBER(SEARCH({"0","1","2","3","4","5","6","7","8","9"},E12)))&gt;0,"Có","Thiếu")))</ns0:f>
        <ns0:v/>
      </ns0:c>
      <ns0:c r="P12" s="14"/>
      <ns0:c r="Q12" s="14"/>
    </ns0:row>
    <ns0:row r="13" customFormat="false" ht="15" hidden="false" customHeight="true" outlineLevel="0" collapsed="false">
      <ns0:c r="A13" s="11" t="n">
        <ns0:v>9</ns0:v>
      </ns0:c>
      <ns0:c r="B13" s="8"/>
      <ns0:c r="C13" s="8"/>
      <ns0:c r="D13" s="8"/>
      <ns0:c r="E13" s="8"/>
      <ns0:c r="F13" s="8"/>
      <ns0:c r="G13" s="8"/>
      <ns0:c r="H13" s="8"/>
      <ns0:c r="I13" s="8"/>
      <ns0:c r="J13" s="8"/>
      <ns0:c r="K13" s="8"/>
      <ns0:c r="L13" s="8"/>
      <ns0:c r="M13" s="12" t="str">
        <ns0:f aca="false">IF(COUNT(F13:L13)&lt;7,"",ROUND(F13*G13*H13/I13*(0.5+0.5*AVERAGE(J13:K13))*(1-0.5*L13),2))</ns0:f>
        <ns0:v/>
      </ns0:c>
      <ns0:c r="N13" s="12" t="str">
        <ns0:f aca="false">IF(M13="","",RANK(M13,$M$5:$M$14))</ns0:f>
        <ns0:v/>
      </ns0:c>
      <ns0:c r="O13" s="13" t="str">
        <ns0:f aca="false">IF(B13="","",IF(OR(D13="",E13=""),"Thiếu",IF(SUMPRODUCT(--ISNUMBER(SEARCH({"0","1","2","3","4","5","6","7","8","9"},E13)))&gt;0,"Có","Thiếu")))</ns0:f>
        <ns0:v/>
      </ns0:c>
      <ns0:c r="P13" s="14"/>
      <ns0:c r="Q13" s="14"/>
    </ns0:row>
    <ns0:row r="14" customFormat="false" ht="15" hidden="false" customHeight="true" outlineLevel="0" collapsed="false">
      <ns0:c r="A14" s="11" t="n">
        <ns0:v>10</ns0:v>
      </ns0:c>
      <ns0:c r="B14" s="8"/>
      <ns0:c r="C14" s="8"/>
      <ns0:c r="D14" s="8"/>
      <ns0:c r="E14" s="8"/>
      <ns0:c r="F14" s="8"/>
      <ns0:c r="G14" s="8"/>
      <ns0:c r="H14" s="8"/>
      <ns0:c r="I14" s="8"/>
      <ns0:c r="J14" s="8"/>
      <ns0:c r="K14" s="8"/>
      <ns0:c r="L14" s="8"/>
      <ns0:c r="M14" s="12" t="str">
        <ns0:f aca="false">IF(COUNT(F14:L14)&lt;7,"",ROUND(F14*G14*H14/I14*(0.5+0.5*AVERAGE(J14:K14))*(1-0.5*L14),2))</ns0:f>
        <ns0:v/>
      </ns0:c>
      <ns0:c r="N14" s="12" t="str">
        <ns0:f aca="false">IF(M14="","",RANK(M14,$M$5:$M$14))</ns0:f>
        <ns0:v/>
      </ns0:c>
      <ns0:c r="O14" s="13" t="str">
        <ns0:f aca="false">IF(B14="","",IF(OR(D14="",E14=""),"Thiếu",IF(SUMPRODUCT(--ISNUMBER(SEARCH({"0","1","2","3","4","5","6","7","8","9"},E14)))&gt;0,"Có","Thiếu")))</ns0:f>
        <ns0:v/>
      </ns0:c>
      <ns0:c r="P14" s="14"/>
      <ns0:c r="Q14" s="14"/>
    </ns0:row>
  </ns0:sheetData>
  <ns0:sheetProtection sheet="true" formatColumns="false" formatRows="false"/>
  <ns0:dataValidations count="4">
    <ns0:dataValidation allowBlank="true" error="Nhập số nguyên từ 1 đến 5." errorStyle="stop" errorTitle="Ngoài thang điểm" operator="between" showDropDown="false" showErrorMessage="true" showInputMessage="false" sqref="F5:G14 I5:I14" type="whole">
      <ns0:formula1>1</ns0:formula1>
      <ns0:formula2>5</ns0:formula2>
    </ns0:dataValidation>
    <ns0:dataValidation allowBlank="true" error="Dùng 0,5 (đoán), 0,8 (có dấu hiệu) hoặc 1 (có số liệu)." errorStyle="stop" errorTitle="Mức tự tin" operator="between" showDropDown="false" showErrorMessage="true" showInputMessage="false" sqref="H5:H14" type="decimal">
      <ns0:formula1>0.5</ns0:formula1>
      <ns0:formula2>1</ns0:formula2>
    </ns0:dataValidation>
    <ns0:dataValidation allowBlank="true" error="Nhập số từ 0 đến 1, ví dụ 0,6." errorStyle="stop" errorTitle="Ngoài thang 0–1" operator="between" showDropDown="false" showErrorMessage="true" showInputMessage="false" sqref="J5:L14" type="decimal">
      <ns0:formula1>0</ns0:formula1>
      <ns0:formula2>1</ns0:formula2>
    </ns0:dataValidation>
    <ns0:dataValidation allowBlank="true" errorStyle="stop" operator="between" showDropDown="false" showErrorMessage="false" showInputMessage="false" sqref="P5:P14" type="list">
      <ns0:formula1>"Tự làm,Mua,Chờ,Không làm"</ns0:formula1>
      <ns0:formula2>0</ns0:formula2>
    </ns0:dataValidation>
  </ns0:dataValidations>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4.xml><?xml version="1.0" encoding="utf-8"?>
<ns0:worksheet xmlns:ns0="http://schemas.openxmlformats.org/spreadsheetml/2006/main">
  <ns0:sheetPr filterMode="false">
    <ns0:pageSetUpPr fitToPage="false"/>
  </ns0:sheetPr>
  <ns0:dimension ref="A1:M23"/>
  <ns0:sheetViews>
    <ns0:sheetView showFormulas="false" showGridLines="tru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1" width="6"/>
    <ns0:col collapsed="false" customWidth="true" hidden="false" outlineLevel="0" max="2" min="2" style="1" width="20"/>
    <ns0:col collapsed="false" customWidth="true" hidden="false" outlineLevel="0" max="3" min="3" style="1" width="34"/>
    <ns0:col collapsed="false" customWidth="true" hidden="false" outlineLevel="0" max="4" min="4" style="1" width="30"/>
    <ns0:col collapsed="false" customWidth="true" hidden="false" outlineLevel="0" max="5" min="5" style="1" width="44"/>
    <ns0:col collapsed="false" customWidth="true" hidden="false" outlineLevel="0" max="6" min="6" style="1" width="36"/>
    <ns0:col collapsed="false" customWidth="true" hidden="false" outlineLevel="0" max="8" min="7" style="1" width="12"/>
    <ns0:col collapsed="false" customWidth="true" hidden="false" outlineLevel="0" max="9" min="9" style="1" width="18"/>
    <ns0:col collapsed="false" customWidth="true" hidden="false" outlineLevel="0" max="10" min="10" style="1" width="14"/>
    <ns0:col collapsed="false" customWidth="true" hidden="false" outlineLevel="0" max="11" min="11" style="1" width="12"/>
    <ns0:col collapsed="false" customWidth="true" hidden="false" outlineLevel="0" max="12" min="12" style="1" width="13"/>
    <ns0:col collapsed="false" customWidth="true" hidden="false" outlineLevel="0" max="13" min="13" style="1" width="11"/>
  </ns0:cols>
  <ns0:sheetData>
    <ns0:row r="1" customFormat="false" ht="17.25" hidden="false" customHeight="true" outlineLevel="0" collapsed="false">
      <ns0:c r="A1" s="2" t="s">
        <ns0:v>57</ns0:v>
      </ns0:c>
    </ns0:row>
    <ns0:row r="2" customFormat="false" ht="15" hidden="false" customHeight="true" outlineLevel="0" collapsed="false">
      <ns0:c r="A2" s="3" t="s">
        <ns0:v>58</ns0:v>
      </ns0:c>
    </ns0:row>
    <ns0:row r="4" customFormat="false" ht="75" hidden="false" customHeight="1" outlineLevel="0" collapsed="false">
      <ns0:c r="A4" s="10" t="s">
        <ns0:v>59</ns0:v>
      </ns0:c>
      <ns0:c r="B4" s="10" t="s">
        <ns0:v>60</ns0:v>
      </ns0:c>
      <ns0:c r="C4" s="10" t="s">
        <ns0:v>61</ns0:v>
      </ns0:c>
      <ns0:c r="D4" s="10" t="s">
        <ns0:v>62</ns0:v>
      </ns0:c>
      <ns0:c r="E4" s="10" t="s">
        <ns0:v>63</ns0:v>
      </ns0:c>
      <ns0:c r="F4" s="10" t="s">
        <ns0:v>64</ns0:v>
      </ns0:c>
      <ns0:c r="G4" s="10" t="s">
        <ns0:v>65</ns0:v>
      </ns0:c>
      <ns0:c r="H4" s="10" t="s">
        <ns0:v>66</ns0:v>
      </ns0:c>
      <ns0:c r="I4" s="10" t="s">
        <ns0:v>67</ns0:v>
      </ns0:c>
      <ns0:c r="J4" s="10" t="s">
        <ns0:v>68</ns0:v>
      </ns0:c>
      <ns0:c r="K4" s="10" t="s">
        <ns0:v>69</ns0:v>
      </ns0:c>
      <ns0:c r="L4" s="10" t="s">
        <ns0:v>70</ns0:v>
      </ns0:c>
      <ns0:c r="M4" s="10" t="s">
        <ns0:v>71</ns0:v>
      </ns0:c>
    </ns0:row>
    <ns0:row r="5" customFormat="false" ht="120" hidden="false" customHeight="1" outlineLevel="0" collapsed="false">
      <ns0:c r="A5" s="11" t="n">
        <ns0:v>0</ns0:v>
      </ns0:c>
      <ns0:c r="B5" s="8" t="s">
        <ns0:v>72</ns0:v>
      </ns0:c>
      <ns0:c r="C5" s="8" t="str">
        <ns0:v>Chỉ thử ngoại tuyến: trích nguồn và nháp để tìm lỗi. Không dùng bản mới cho người bệnh.</ns0:v>
      </ns0:c>
      <ns0:c r="D5" s="8" t="str">
        <ns0:v>DS công ty kiểm thuốc 100% mẫu. BS Phương chấm lâm sàng, phân xử với DS Hải. Chưa phát hành.</ns0:v>
      </ns0:c>
      <ns0:c r="E5" s="8" t="str">
        <ns0:v>Giữ Mức 0 khi còn 1 lỗi insulin. Khóa phiên bản, thêm 5 ca và sửa trước khi xét cổng Mức 1.</ns0:v>
      </ns0:c>
      <ns0:c r="F5" s="8" t="str">
        <ns0:v>40 hồ sơ đã có + 5 ca insulin ẩn danh; chốt rubric, phân quyền, nhật ký và cơ chế quay lui.</ns0:v>
      </ns0:c>
      <ns0:c r="G5" s="8" t="str">
        <ns0:v>Tháng 0–1, phụ thuộc lịch chuyên gia</ns0:v>
      </ns0:c>
      <ns0:c r="H5" s="15" t="n">
        <ns0:v>1</ns0:v>
      </ns0:c>
      <ns0:c r="I5" s="14" t="str">
        <ns0:v>Người của mình</ns0:v>
      </ns0:c>
      <ns0:c r="J5" s="16" t="n">
        <ns0:f aca="false">IF(H5="","",$B$12+$B$13+IF(I5="Người của mình",H5*$B$14*$B$15/60,0))</ns0:f>
        <ns0:v>11668</ns0:v>
      </ns0:c>
      <ns0:c r="K5" s="17" t="n">
        <ns0:f aca="false">IF(J5="","",IFERROR(($B$16-$B$17*J5)/$B$16,""))</ns0:f>
        <ns0:v>0.06656</ns0:v>
      </ns0:c>
      <ns0:c r="L5" s="18" t="str">
        <ns0:f aca="false">IF(K5="","",IF(K5&gt;=0.6,"Đạt","Dưới ngưỡng"))</ns0:f>
        <ns0:v>Dưới ngưỡng</ns0:v>
      </ns0:c>
    </ns0:row>
    <ns0:row r="6" customFormat="false" ht="185" hidden="false" customHeight="1" outlineLevel="0" collapsed="false">
      <ns0:c r="A6" s="11" t="n">
        <ns0:v>1</ns0:v>
      </ns0:c>
      <ns0:c r="B6" s="8" t="s">
        <ns0:v>74</ns0:v>
      </ns0:c>
      <ns0:c r="C6" s="8" t="str">
        <ns0:v>Soạn nháp có nguồn, đối chiếu thuốc và gắn cờ. Chỉ mở pilot 1 khoa sau cổng.</ns0:v>
      </ns0:c>
      <ns0:c r="D6" s="8" t="str">
        <ns0:v>BS bệnh viện đọc, sửa, ký 100%; DS công ty kiểm thuốc 100% bản pilot. Không tự gửi người bệnh.</ns0:v>
      </ns0:c>
      <ns0:c r="E6" s="8" t="str">
        <ns0:v>Sửa lỗi sáng/tối, thêm 5 ca insulin rồi chạy cả 45 ca: 0 lỗi nghiêm trọng, đạt quy thực tế ≥95%, 0 tầng tụt, kappa ≥0,8. Giữ trọng số thực tế, không gộp thô 5 ca tăng cường. BS Phương + DS Hải xác nhận.</ns0:v>
      </ns0:c>
      <ns0:c r="F6" s="8" t="str">
        <ns0:v>Dự toán lab: BS 2 giờ/tuần, DS 4 giờ/tuần, tổng 6 giờ/tuần; dự trù 24,3 giờ cho 45 ca nên dành 5 tuần, phân bổ theo chuyên môn. Chỉ pilot khi thực tế đủ lịch. Y lệnh có phiên bản, nhật ký, chặn xuất chưa ký và bệnh viện duyệt dữ liệu.</ns0:v>
      </ns0:c>
      <ns0:c r="G6" s="8" t="str">
        <ns0:v>Tháng 1–3 sau cổng; ngày thực tế do bệnh viện xác nhận</ns0:v>
      </ns0:c>
      <ns0:c r="H6" s="15" t="n">
        <ns0:v>1</ns0:v>
      </ns0:c>
      <ns0:c r="I6" s="14" t="str">
        <ns0:v>Người của mình</ns0:v>
      </ns0:c>
      <ns0:c r="J6" s="16" t="n">
        <ns0:f aca="false">IF(H6="","",$B$12+$B$13+IF(I6="Người của mình",H6*$B$14*$B$15/60,0))</ns0:f>
        <ns0:v>11668</ns0:v>
      </ns0:c>
      <ns0:c r="K6" s="17" t="n">
        <ns0:f aca="false">IF(J6="","",IFERROR(($B$16-$B$17*J6)/$B$16,""))</ns0:f>
        <ns0:v>0.06656</ns0:v>
      </ns0:c>
      <ns0:c r="L6" s="18" t="str">
        <ns0:f aca="false">IF(K6="","",IF(K6&gt;=0.6,"Đạt","Dưới ngưỡng"))</ns0:f>
        <ns0:v>Dưới ngưỡng</ns0:v>
      </ns0:c>
      <ns0:c r="M6" s="18" t="str">
        <ns0:f aca="false">IF(E6="","",IF(SUMPRODUCT(--ISNUMBER(SEARCH({"0","1","2","3","4","5","6","7","8","9"},E6)))&gt;0,"Có","Thiếu"))</ns0:f>
        <ns0:v>Có</ns0:v>
      </ns0:c>
    </ns0:row>
    <ns0:row r="7" customFormat="false" ht="240" hidden="false" customHeight="1" outlineLevel="0" collapsed="false">
      <ns0:c r="A7" s="11" t="n">
        <ns0:v>2</ns0:v>
      </ns0:c>
      <ns0:c r="B7" s="8" t="s">
        <ns0:v>75</ns0:v>
      </ns0:c>
      <ns0:c r="C7" s="8" t="str">
        <ns0:v>Tự động ghép các mục ít rủi ro; thuốc có nguồn và kiểm tra quy tắc. Chỉ giảm DS nếu qua cổng riêng.</ns0:v>
      </ns0:c>
      <ns0:c r="D7" s="8" t="str">
        <ns0:v>BS vẫn đọc, sửa, ký 100%. DS kiểm mọi cờ/rủi ro thuốc + mẫu ngẫu nhiên phần còn lại. H=10% là tổng tỷ lệ DS mục tiêu có điều kiện, không phải giới hạn bỏ qua cờ.</ns0:v>
      </ns0:c>
      <ns0:c r="E7" s="8" t="str">
        <ns0:v>Đề xuất: 0 lỗi thuốc nghiêm trọng/600 bản liên tiếp ở Mức 1, DS kiểm 100%; hồi quy 45 ca vẫn đạt cổng Mức 1. Tháng 3 sửa nhiều ≤30%/≥300 bản, trung vị thời gian ≤1/3 nền/100 bản. BS Phương + DS Hải duyệt mới giảm DS từng bước. 3/600≈0,5% chưa bảo đảm an toàn.</ns0:v>
      </ns0:c>
      <ns0:c r="F7" s="8" t="str">
        <ns0:v>DS 4 giờ/tuần trong giả định lab: 600 bản cần 30 giờ, ít nhất 8 tuần DS. BS chấm phần lâm sàng theo lịch riêng. Đây là dự toán, chưa cam kết. Cờ vượt 10% thì giữ mức duyệt an toàn; phải có phiên bản, nhật ký và quay lui.</ns0:v>
      </ns0:c>
      <ns0:c r="G7" s="8" t="str">
        <ns0:v>Tháng 3–6, chỉ sau bằng chứng và phê duyệt</ns0:v>
      </ns0:c>
      <ns0:c r="H7" s="15" t="n">
        <ns0:v>0.1</ns0:v>
      </ns0:c>
      <ns0:c r="I7" s="14" t="str">
        <ns0:v>Người của mình</ns0:v>
      </ns0:c>
      <ns0:c r="J7" s="16" t="n">
        <ns0:f aca="false">IF(H7="","",$B$12+$B$13+IF(I7="Người của mình",H7*$B$14*$B$15/60,0))</ns0:f>
        <ns0:v>4918</ns0:v>
      </ns0:c>
      <ns0:c r="K7" s="17" t="n">
        <ns0:f aca="false">IF(J7="","",IFERROR(($B$16-$B$17*J7)/$B$16,""))</ns0:f>
        <ns0:v>0.60656</ns0:v>
      </ns0:c>
      <ns0:c r="L7" s="18" t="str">
        <ns0:f aca="false">IF(K7="","",IF(K7&gt;=0.6,"Đạt","Dưới ngưỡng"))</ns0:f>
        <ns0:v>Đạt</ns0:v>
      </ns0:c>
      <ns0:c r="M7" s="18" t="str">
        <ns0:f aca="false">IF(E7="","",IF(SUMPRODUCT(--ISNUMBER(SEARCH({"0","1","2","3","4","5","6","7","8","9"},E7)))&gt;0,"Có","Thiếu"))</ns0:f>
        <ns0:v>Có</ns0:v>
      </ns0:c>
    </ns0:row>
    <ns0:row r="8" customFormat="false" ht="100" hidden="false" customHeight="1" outlineLevel="0" collapsed="false">
      <ns0:c r="A8" s="11" t="n">
        <ns0:v>3</ns0:v>
      </ns0:c>
      <ns0:c r="B8" s="8" t="s">
        <ns0:v>76</ns0:v>
      </ns0:c>
      <ns0:c r="C8" s="8" t="str">
        <ns0:v>Không làm. AI không tự ký hoặc tự gửi tóm tắt ra viện cho người bệnh.</ns0:v>
      </ns0:c>
      <ns0:c r="D8" s="8" t="str">
        <ns0:v>Bác sĩ bệnh viện luôn đọc, sửa và ký 100%. Không thay vai trò bằng giám sát lấy mẫu.</ns0:v>
      </ns0:c>
      <ns0:c r="E8" s="8" t="str">
        <ns0:v>Không áp dụng. Không triển khai mức này.</ns0:v>
      </ns0:c>
      <ns0:c r="F8" s="8" t="str">
        <ns0:v>Duy trì chặn xuất khi chưa có chữ ký BS, quyền truy cập và nhật ký.</ns0:v>
      </ns0:c>
      <ns0:c r="G8" s="8" t="str">
        <ns0:v>Không làm</ns0:v>
      </ns0:c>
      <ns0:c r="H8" s="15"/>
      <ns0:c r="I8" s="14" t="str">
        <ns0:v>Người của mình</ns0:v>
      </ns0:c>
      <ns0:c r="J8" s="16" t="str">
        <ns0:f aca="false">IF(H8="","",$B$12+$B$13+IF(I8="Người của mình",H8*$B$14*$B$15/60,0))</ns0:f>
        <ns0:v/>
      </ns0:c>
      <ns0:c r="K8" s="17" t="str">
        <ns0:f aca="false">IF(J8="","",IFERROR(($B$16-$B$17*J8)/$B$16,""))</ns0:f>
        <ns0:v/>
      </ns0:c>
      <ns0:c r="L8" s="18" t="str">
        <ns0:f aca="false">IF(K8="","",IF(K8&gt;=0.6,"Đạt","Dưới ngưỡng"))</ns0:f>
        <ns0:v/>
      </ns0:c>
      <ns0:c r="M8" s="18" t="str">
        <ns0:f aca="false">IF(E8="","",IF(SUMPRODUCT(--ISNUMBER(SEARCH({"0","1","2","3","4","5","6","7","8","9"},E8)))&gt;0,"Có","Thiếu"))</ns0:f>
        <ns0:v>Thiếu</ns0:v>
      </ns0:c>
    </ns0:row>
    <ns0:row r="11" customFormat="false" ht="15" hidden="false" customHeight="true" outlineLevel="0" collapsed="false">
      <ns0:c r="A11" s="9" t="s">
        <ns0:v>77</ns0:v>
      </ns0:c>
    </ns0:row>
    <ns0:row r="12" customFormat="false" ht="15" hidden="false" customHeight="true" outlineLevel="0" collapsed="false">
      <ns0:c r="A12" s="19" t="s">
        <ns0:v>78</ns0:v>
      </ns0:c>
      <ns0:c r="B12" s="20" t="n">
        <ns0:v>2968</ns0:v>
      </ns0:c>
      <ns0:c r="C12" s="21" t="s">
        <ns0:v>79</ns0:v>
      </ns0:c>
    </ns0:row>
    <ns0:row r="13" customFormat="false" ht="15" hidden="false" customHeight="true" outlineLevel="0" collapsed="false">
      <ns0:c r="A13" s="19" t="s">
        <ns0:v>80</ns0:v>
      </ns0:c>
      <ns0:c r="B13" s="20" t="n">
        <ns0:v>1200</ns0:v>
      </ns0:c>
      <ns0:c r="C13" s="21" t="s">
        <ns0:v>81</ns0:v>
      </ns0:c>
    </ns0:row>
    <ns0:row r="14" customFormat="false" ht="15" hidden="false" customHeight="true" outlineLevel="0" collapsed="false">
      <ns0:c r="A14" s="19" t="s">
        <ns0:v>82</ns0:v>
      </ns0:c>
      <ns0:c r="B14" s="22" t="n">
        <ns0:v>3</ns0:v>
      </ns0:c>
      <ns0:c r="C14" s="21" t="s">
        <ns0:v>83</ns0:v>
      </ns0:c>
    </ns0:row>
    <ns0:row r="15" customFormat="false" ht="15" hidden="false" customHeight="true" outlineLevel="0" collapsed="false">
      <ns0:c r="A15" s="19" t="s">
        <ns0:v>84</ns0:v>
      </ns0:c>
      <ns0:c r="B15" s="20" t="n">
        <ns0:v>150000</ns0:v>
      </ns0:c>
      <ns0:c r="C15" s="21" t="s">
        <ns0:v>85</ns0:v>
      </ns0:c>
    </ns0:row>
    <ns0:row r="16" customFormat="false" ht="15" hidden="false" customHeight="true" outlineLevel="0" collapsed="false">
      <ns0:c r="A16" s="19" t="s">
        <ns0:v>86</ns0:v>
      </ns0:c>
      <ns0:c r="B16" s="20" t="n">
        <ns0:v>15000000</ns0:v>
      </ns0:c>
      <ns0:c r="C16" s="21" t="s">
        <ns0:v>87</ns0:v>
      </ns0:c>
    </ns0:row>
    <ns0:row r="17" customFormat="false" ht="15" hidden="false" customHeight="true" outlineLevel="0" collapsed="false">
      <ns0:c r="A17" s="19" t="s">
        <ns0:v>88</ns0:v>
      </ns0:c>
      <ns0:c r="B17" s="20" t="n">
        <ns0:v>1200</ns0:v>
      </ns0:c>
      <ns0:c r="C17" s="21" t="s">
        <ns0:v>89</ns0:v>
      </ns0:c>
    </ns0:row>
    <ns0:row r="18" customFormat="false" ht="155" hidden="false" customHeight="1" outlineLevel="0" collapsed="false">
      <ns0:c r="A18" s="19" t="s">
        <ns0:v>90</ns0:v>
      </ns0:c>
      <ns0:c r="B18" s="14" t="s">
        <ns0:v>91</ns0:v>
      </ns0:c>
      <ns0:c r="C18" s="21" t="s">
        <ns0:v>92</ns0:v>
      </ns0:c>
    </ns0:row>
    <ns0:row r="19" customFormat="false" ht="155" hidden="false" customHeight="1" outlineLevel="0" collapsed="false">
      <ns0:c r="A19" s="19" t="s">
        <ns0:v>93</ns0:v>
      </ns0:c>
      <ns0:c r="B19" s="14" t="s">
        <ns0:v>94</ns0:v>
      </ns0:c>
      <ns0:c r="C19" s="21" t="s">
        <ns0:v>95</ns0:v>
      </ns0:c>
    </ns0:row>
    <ns0:row r="20" customFormat="false" ht="15" hidden="false" customHeight="true" outlineLevel="0" collapsed="false">
      <ns0:c r="A20" s="19" t="s">
        <ns0:v>96</ns0:v>
      </ns0:c>
      <ns0:c r="B20" s="23" t="n">
        <ns0:v>9</ns0:v>
      </ns0:c>
      <ns0:c r="C20" s="21" t="s">
        <ns0:v>97</ns0:v>
      </ns0:c>
    </ns0:row>
    <ns0:row r="22" customFormat="false" ht="15" hidden="false" customHeight="true" outlineLevel="0" collapsed="false">
      <ns0:c r="A22" s="21" t="s">
        <ns0:v>98</ns0:v>
      </ns0:c>
    </ns0:row>
    <ns0:row r="23" customFormat="false" ht="15" hidden="false" customHeight="true" outlineLevel="0" collapsed="false">
      <ns0:c r="A23" s="21"/>
    </ns0:row>
  </ns0:sheetData>
  <ns0:sheetProtection sheet="true" formatColumns="false" formatRows="false"/>
  <ns0:dataValidations count="2">
    <ns0:dataValidation allowBlank="true" errorStyle="stop" operator="between" showDropDown="false" showErrorMessage="false" showInputMessage="false" sqref="I5:I8" type="list">
      <ns0:formula1>"Người của mình,Nhân viên cửa hàng"</ns0:formula1>
      <ns0:formula2>0</ns0:formula2>
    </ns0:dataValidation>
    <ns0:dataValidation allowBlank="true" errorStyle="stop" operator="between" showDropDown="false" showErrorMessage="false" showInputMessage="false" sqref="H5:H8" type="decimal">
      <ns0:formula1>0</ns0:formula1>
      <ns0:formula2>1</ns0:formula2>
    </ns0:dataValidation>
  </ns0:dataValidations>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5.xml><?xml version="1.0" encoding="utf-8"?>
<ns0:worksheet xmlns:ns0="http://schemas.openxmlformats.org/spreadsheetml/2006/main">
  <ns0:sheetPr filterMode="false">
    <ns0:pageSetUpPr fitToPage="false"/>
  </ns0:sheetPr>
  <ns0:dimension ref="A1:D12"/>
  <ns0:sheetViews>
    <ns0:sheetView showFormulas="false" showGridLines="tru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1" width="30"/>
    <ns0:col collapsed="false" customWidth="true" hidden="false" outlineLevel="0" max="4" min="2" style="1" width="42"/>
  </ns0:cols>
  <ns0:sheetData>
    <ns0:row r="1" customFormat="false" ht="17.25" hidden="false" customHeight="true" outlineLevel="0" collapsed="false">
      <ns0:c r="A1" s="2" t="s">
        <ns0:v>99</ns0:v>
      </ns0:c>
    </ns0:row>
    <ns0:row r="2" customFormat="false" ht="15" hidden="false" customHeight="true" outlineLevel="0" collapsed="false">
      <ns0:c r="A2" s="3" t="s">
        <ns0:v>100</ns0:v>
      </ns0:c>
    </ns0:row>
    <ns0:row r="4" customFormat="false" ht="15" hidden="false" customHeight="true" outlineLevel="0" collapsed="false">
      <ns0:c r="A4" s="10" t="s">
        <ns0:v>101</ns0:v>
      </ns0:c>
      <ns0:c r="B4" s="10" t="s">
        <ns0:v>102</ns0:v>
      </ns0:c>
      <ns0:c r="C4" s="10" t="s">
        <ns0:v>103</ns0:v>
      </ns0:c>
      <ns0:c r="D4" s="10" t="s">
        <ns0:v>104</ns0:v>
      </ns0:c>
    </ns0:row>
    <ns0:row r="5" customFormat="false" ht="110" hidden="false" customHeight="1" outlineLevel="0" collapsed="false">
      <ns0:c r="A5" s="24" t="s">
        <ns0:v>105</ns0:v>
      </ns0:c>
      <ns0:c r="B5" s="8" t="str">
        <ns0:v>Sửa đối chiếu thuốc (việc 2), gắn cờ (3), rồi nháp có nguồn (1). Thêm 5 ca insulin, chạy lại 45 ca. Pilot 1 khoa sau cổng; chưa phát hành hiện tại.</ns0:v>
      </ns0:c>
      <ns0:c r="C5" s="8" t="str">
        <ns0:v>Ổn định 1 khoa. Xét Mức 2 và giảm DS từng bước sau cổng 600 bản. Xem lại lời dặn (4) ở tháng 6. Không tự xây mã bảo hiểm (6).</ns0:v>
      </ns0:c>
      <ns0:c r="D5" s="8" t="str">
        <ns0:v>Giữ Mức 2 nếu an toàn và có hợp đồng. Khám phá chuyển khoa (5) với bộ đề riêng; chưa cam kết triển khai. Mức 3 không làm.</ns0:v>
      </ns0:c>
    </ns0:row>
    <ns0:row r="6" customFormat="false" ht="110" hidden="false" customHeight="1" outlineLevel="0" collapsed="false">
      <ns0:c r="A6" s="24" t="s">
        <ns0:v>106</ns0:v>
      </ns0:c>
      <ns0:c r="B6" s="8" t="str">
        <ns0:v>Ta tin rằng chặn lỗi thuốc + cờ mâu thuẫn trước khi tạo nháp giúp BS giảm 2/3 thời gian mà không có lỗi thuốc lọt đến người bệnh.</ns0:v>
      </ns0:c>
      <ns0:c r="C6" s="8" t="str">
        <ns0:v>Ta tin rằng tự ghép phần ít rủi ro và DS kiểm theo cờ đã kiểm chứng giữ chất lượng, giảm chi phí mà BS vẫn ký 100%.</ns0:v>
      </ns0:c>
      <ns0:c r="D6" s="8" t="str">
        <ns0:v>Ta tin rằng bộ đề chuyển khoa riêng và kiểm chứng người nhận tạo giá trị mới. Chỉ thử khi sản phẩm ra viện đã ổn định.</ns0:v>
      </ns0:c>
    </ns0:row>
    <ns0:row r="7" customFormat="false" ht="110" hidden="false" customHeight="1" outlineLevel="0" collapsed="false">
      <ns0:c r="A7" s="24" t="s">
        <ns0:v>44</ns0:v>
      </ns0:c>
      <ns0:c r="B7" s="8" t="str">
        <ns0:v>Mục tiêu đề xuất: 0 lỗi nghiêm trọng/45 ca; thời gian ≤1/3 nền trên 100 bản; sửa nhiều ≤30%/≥300 bản tháng pilot 3. Sửa nhiều = sửa thuốc/chẩn đoán/diễn biến chính hoặc viết lại &gt;30% nội dung, chốt trước thử.</ns0:v>
      </ns0:c>
      <ns0:c r="C7" s="8" t="str">
        <ns0:v>0 lỗi nghiêm trọng/600 bản DS duyệt đầy đủ. Sau giảm: giám sát liên tục 1.200 bản/tháng nếu đủ sản lượng; sửa nhiều ≤30%. DS tổng 10% chỉ khi đủ an toàn, biên mục tiêu ≥60%.</ns0:v>
      </ns0:c>
      <ns0:c r="D7" s="8" t="str">
        <ns0:v>Mỗi phiên bản giữ cổng hồi quy 45 ca. Chuyển khoa chỉ pilot sau ≥40 ca riêng, 0 bỏ sót nguy hiểm; mục tiêu giảm 30% thời gian nắm ca/50 ca. Đây là giả thuyết mới.</ns0:v>
      </ns0:c>
    </ns0:row>
    <ns0:row r="8" customFormat="false" ht="110" hidden="false" customHeight="1" outlineLevel="0" collapsed="false">
      <ns0:c r="A8" s="24" t="s">
        <ns0:v>107</ns0:v>
      </ns0:c>
      <ns0:c r="B8" s="8" t="str">
        <ns0:v>Mức 0 ngoại tuyến, rồi Mức 1. DS 100% và BS 100%; chưa giảm người duyệt để đạt biên.</ns0:v>
      </ns0:c>
      <ns0:c r="C8" s="8" t="str">
        <ns0:v>Mức 2 có điều kiện. BS 100%; DS mọi cờ/rủi ro + mẫu ngẫu nhiên, tổng mục tiêu 10%. Nếu cờ nhiều hơn thì tăng DS.</ns0:v>
      </ns0:c>
      <ns0:c r="D8" s="8" t="str">
        <ns0:v>Tối đa Mức 2. Không tự gửi cho người bệnh. Phạm vi chuyển khoa trở về thử ngoại tuyến với cổng riêng.</ns0:v>
      </ns0:c>
    </ns0:row>
    <ns0:row r="9" customFormat="false" ht="110" hidden="false" customHeight="1" outlineLevel="0" collapsed="false">
      <ns0:c r="A9" s="24" t="s">
        <ns0:v>108</ns0:v>
      </ns0:c>
      <ns0:c r="B9" s="8" t="str">
        <ns0:v>Cổng Mức 1: sau sửa, toàn bộ 45 ca có 0 lỗi nghiêm trọng, đạt quy thực tế ≥95%, 0 tầng tụt, kappa ≥0,8. BS Phương + DS Hải ký xác nhận; chưa có kết quả mới.</ns0:v>
      </ns0:c>
      <ns0:c r="C9" s="8" t="str">
        <ns0:v>Cổng Mức 2 tại trang 2: 600 bản liên tiếp, 0 lỗi nghiêm trọng; giữ cổng hồi quy, đạt hiệu quả tháng 3. BS Phương + DS Hải phê duyệt; không tự lên mức theo ngày.</ns0:v>
      </ns0:c>
      <ns0:c r="D9" s="8" t="str">
        <ns0:v>Cổng hiện hành áp dụng lại khi đổi mô hình. Thêm bộ đề chuyển khoa, chuyên gia khoa nhận xác nhận và bệnh viện phê duyệt phạm vi trước pilot.</ns0:v>
      </ns0:c>
    </ns0:row>
    <ns0:row r="10" customFormat="false" ht="110" hidden="false" customHeight="1" outlineLevel="0" collapsed="false">
      <ns0:c r="A10" s="24" t="s">
        <ns0:v>109</ns0:v>
      </ns0:c>
      <ns0:c r="B10" s="8" t="str">
        <ns0:v>Nguyễn Anh Dũng phụ trách kế hoạch. Dữ liệu ẩn danh, y lệnh có phiên bản, phân quyền, nhật ký, chặn xuất chưa ký. Giả định lab: BS 2 giờ + DS 4 giờ/tuần, thêm 4 giờ cho 5 ca mới; dành 5 tuần đánh giá. Xác nhận đủ lịch và phê duyệt trước pilot.</ns0:v>
      </ns0:c>
      <ns0:c r="C10" s="8" t="str">
        <ns0:v>Giả định DS 4 giờ/tuần: 30 giờ cho 600 bản cần ít nhất 8 tuần. BS vẫn ký 100%, chấm hiệu quả theo lịch riêng. Khối lượng thử điều tiết theo năng lực DS, không mặc định xử lý đủ 40 bản/ngày. Có cờ, nhật ký và quay lui.</ns0:v>
      </ns0:c>
      <ns0:c r="D10" s="8" t="str">
        <ns0:v>Chỉ mở khoa khi có hợp đồng, chuyên gia mới, nguồn dữ liệu và ngân sách chấm bộ đề. Rà soát yêu cầu pháp lý hiện hành với đầu mối bệnh viện trước thay đổi; chưa kết luận phân loại pháp lý.</ns0:v>
      </ns0:c>
    </ns0:row>
    <ns0:row r="11" customFormat="false" ht="110" hidden="false" customHeight="1" outlineLevel="0" collapsed="false">
      <ns0:c r="A11" s="24" t="s">
        <ns0:v>110</ns0:v>
      </ns0:c>
      <ns0:c r="B11" s="8" t="str">
        <ns0:v>Đề: 12.500 đ doanh thu/bản. Mức 1: 11.668 đ/bản, biên 6,66%, lãi gộp 998.400 đ/khoa/tháng nếu đủ 1.200 bản và thu đủ 15 triệu. Chưa tính chi phí cố định. Kịch bản ký chậm 6 tháng: hết tiền tháng 9. Không hạ an toàn để đạt 60%.</ns0:v>
      </ns0:c>
      <ns0:c r="C11" s="8" t="str">
        <ns0:v>Mức 2 dự kiến DS 10%: 4.918 đ/bản, biên 60,66%, lãi gộp 9.098.400 đ/khoa/tháng. Muốn ≥60% cần DS ≤11,09% với giá/chi phí đề. Nếu không an toàn ở tỷ lệ này: giữ DS, đàm phán giá hoặc dừng mở rộng.</ns0:v>
      </ns0:c>
      <ns0:c r="D11" s="8" t="str">
        <ns0:v>Giữ giá 15 triệu/1.200 bản chỉ là giả định. Chốt hợp đồng và kế hoạch tiền trước tháng 6 để xử lý nguy cơ cạn tháng 9; không suy ra runway mới từ lãi gộp. Chưa có dữ liệu ngân sách cố định.</ns0:v>
      </ns0:c>
    </ns0:row>
    <ns0:row r="12" customFormat="false" ht="110" hidden="false" customHeight="1" outlineLevel="0" collapsed="false">
      <ns0:c r="A12" s="24" t="s">
        <ns0:v>111</ns0:v>
      </ns0:c>
      <ns0:c r="B12" s="8" t="str">
        <ns0:v>NẾU có 1 lỗi thuốc lọt tới người bệnh BẤT KỲ LÚC NÀO THÌ dừng ngay. NẾU cuối tháng pilot 3 sửa nhiều &gt;30%/≥300 bản THÌ dừng, không mở khoa. Nếu &lt;300 bản, chưa đủ chứng cứ để mở. Chưa qua 45 ca thì giữ ngoại tuyến.</ns0:v>
      </ns0:c>
      <ns0:c r="C12" s="8" t="str">
        <ns0:v>NẾU phát hiện 1 lỗi thuốc nghiêm trọng trong nháp sau giảm DS THÌ lùi Mức 1 và điều tra. Nếu tháng 6 chưa có hợp đồng hoặc an toàn đòi DS &gt;11,09%, dừng mở rộng, xét giá/vốn với lãnh đạo.</ns0:v>
      </ns0:c>
      <ns0:c r="D12" s="8" t="str">
        <ns0:v>NẾU bộ đề mới có 1 lỗi nghiêm trọng hoặc chưa đủ chuyên gia THÌ dừng mở phạm vi. Rà soát hàng quý; chưa có tiền/hợp đồng trước ngưỡng ngân sách được duyệt thì dừng đầu tư mới.</ns0:v>
      </ns0:c>
    </ns0:row>
  </ns0:sheetData>
  <ns0:sheetProtection sheet="true" formatColumns="false" formatRows="false"/>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6.xml><?xml version="1.0" encoding="utf-8"?>
<ns0:worksheet xmlns:ns0="http://schemas.openxmlformats.org/spreadsheetml/2006/main">
  <ns0:sheetPr filterMode="false">
    <ns0:pageSetUpPr fitToPage="false"/>
  </ns0:sheetPr>
  <ns0:dimension ref="A1:D12"/>
  <ns0:sheetViews>
    <ns0:sheetView showFormulas="false" showGridLines="tru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1" width="34"/>
    <ns0:col collapsed="false" customWidth="true" hidden="false" outlineLevel="0" max="3" min="2" style="1" width="40"/>
    <ns0:col collapsed="false" customWidth="true" hidden="false" outlineLevel="0" max="4" min="4" style="1" width="28"/>
  </ns0:cols>
  <ns0:sheetData>
    <ns0:row r="1" customFormat="false" ht="17.25" hidden="false" customHeight="true" outlineLevel="0" collapsed="false">
      <ns0:c r="A1" s="2" t="s">
        <ns0:v>112</ns0:v>
      </ns0:c>
    </ns0:row>
    <ns0:row r="2" customFormat="false" ht="15" hidden="false" customHeight="true" outlineLevel="0" collapsed="false">
      <ns0:c r="A2" s="3" t="s">
        <ns0:v>113</ns0:v>
      </ns0:c>
    </ns0:row>
    <ns0:row r="4" customFormat="false" ht="15" hidden="false" customHeight="true" outlineLevel="0" collapsed="false">
      <ns0:c r="A4" s="10" t="s">
        <ns0:v>114</ns0:v>
      </ns0:c>
      <ns0:c r="B4" s="10" t="s">
        <ns0:v>115</ns0:v>
      </ns0:c>
      <ns0:c r="C4" s="10" t="s">
        <ns0:v>116</ns0:v>
      </ns0:c>
      <ns0:c r="D4" s="10" t="s">
        <ns0:v>117</ns0:v>
      </ns0:c>
    </ns0:row>
    <ns0:row r="5" customFormat="false" ht="130" hidden="false" customHeight="1" outlineLevel="0" collapsed="false">
      <ns0:c r="A5" s="8" t="s">
        <ns0:v>118</ns0:v>
      </ns0:c>
      <ns0:c r="B5" s="8" t="str">
        <ns0:v>45 ca hồi quy sau sửa: 0 lỗi nghiêm trọng, ≥95%, 0 tầng tụt, kappa ≥0,8; kiểm lịch chuyên gia và quyền dữ liệu.</ns0:v>
      </ns0:c>
      <ns0:c r="C5" s="8" t="str">
        <ns0:v>Đi tiếp vào pilot Mức 1 chỉ khi đủ cổng. Còn lỗi hoặc thiếu phê duyệt thì sửa và giữ ngoại tuyến.</ns0:v>
      </ns0:c>
      <ns0:c r="D5" s="8" t="str">
        <ns0:v>BS Phương + DS Hải duyệt chất lượng; lãnh đạo sản phẩm/bệnh viện duyệt pilot.</ns0:v>
      </ns0:c>
    </ns0:row>
    <ns0:row r="6" customFormat="false" ht="130" hidden="false" customHeight="1" outlineLevel="0" collapsed="false">
      <ns0:c r="A6" s="8" t="s">
        <ns0:v>119</ns0:v>
      </ns0:c>
      <ns0:c r="B6" s="8" t="str">
        <ns0:v>Số bản pilot, số lỗi thuốc, tỷ lệ sửa nhiều, thời gian so với nền, giờ DS và log cờ. Chưa đủ 600 bản thì chưa xét giảm DS.</ns0:v>
      </ns0:c>
      <ns0:c r="C6" s="8" t="str">
        <ns0:v>Đi tiếp Mức 1 nếu an toàn; sửa khi chưa đạt hiệu quả. Có lỗi lọt người bệnh thì dừng ngay; chưa giảm DS theo lịch.</ns0:v>
      </ns0:c>
      <ns0:c r="D6" s="8" t="str">
        <ns0:v>BS Phương + DS Hải quyết an toàn; quản lý sản phẩm quyết kế hoạch cùng bệnh viện.</ns0:v>
      </ns0:c>
    </ns0:row>
    <ns0:row r="7" customFormat="false" ht="130" hidden="false" customHeight="1" outlineLevel="0" collapsed="false">
      <ns0:c r="A7" s="8" t="s">
        <ns0:v>120</ns0:v>
      </ns0:c>
      <ns0:c r="B7" s="8" t="str">
        <ns0:v>Tách 2 đồng hồ: ngày 90 từ khởi động và hết tháng pilot 3 từ ngày pilot được duyệt. Xét ≥300 bản tháng pilot 3, sửa nhiều ≤30%, 100 bản đo thời gian; cổng 600 bản nếu đủ.</ns0:v>
      </ns0:c>
      <ns0:c r="C7" s="8" t="str">
        <ns0:v>Dừng nếu &gt;30% sửa nhiều cuối tháng pilot 3 hoặc 1 lỗi thuốc lọt người bệnh. Thiếu mẫu thì hoãn mở rộng. Đủ cổng mới xét Mức 2. Không suy ra LTV thật sau 90 ngày.</ns0:v>
      </ns0:c>
      <ns0:c r="D7" s="8" t="str">
        <ns0:v>BS Phương + DS Hải duyệt cổng; lãnh đạo công ty và bệnh viện quyết mở rộng/ngân sách.</ns0:v>
      </ns0:c>
    </ns0:row>
    <ns0:row r="8" customFormat="false" ht="130" hidden="false" customHeight="1" outlineLevel="0" collapsed="false">
      <ns0:c r="A8" s="8" t="s">
        <ns0:v>121</ns0:v>
      </ns0:c>
      <ns0:c r="B8" s="8" t="str">
        <ns0:v>Chi phí/bản, 45 ca hồi quy và các mẫu/cổng đang áp dụng; nguồn dữ liệu và hành vi thuốc có đổi không.</ns0:v>
      </ns0:c>
      <ns0:c r="C8" s="8" t="str">
        <ns0:v>Thử ngoại tuyến, chấm lại. Chỉ đổi phiên bản nếu giữ cổng; giảm giá chưa đủ lý do triển khai. Có lỗi thì quay lui.</ns0:v>
      </ns0:c>
      <ns0:c r="D8" s="8" t="str">
        <ns0:v>Kỹ sư đề xuất; BS Phương + DS Hải duyệt; lãnh đạo sản phẩm quyết.</ns0:v>
      </ns0:c>
    </ns0:row>
    <ns0:row r="9" customFormat="false" ht="130" hidden="false" customHeight="1" outlineLevel="0" collapsed="false">
      <ns0:c r="A9" s="8" t="s">
        <ns0:v>122</ns0:v>
      </ns0:c>
      <ns0:c r="B9" s="8" t="str">
        <ns0:v>So sánh cùng 45 ca, dẫn nguồn, tích hợp y lệnh và giá thực nhận; đối chiếu giả định L ở trang 1.</ns0:v>
      </ns0:c>
      <ns0:c r="C9" s="8" t="str">
        <ns0:v>Xét mua/tích hợp nếu qua cùng cổng và rẻ hơn. Giữ phần kiểm chứng đặc thù. Không tự xây mã bảo hiểm đã có.</ns0:v>
      </ns0:c>
      <ns0:c r="D9" s="8" t="str">
        <ns0:v>Quản lý sản phẩm + lãnh đạo công ty; BS Phương + DS Hải phủ quyết rủi ro lâm sàng.</ns0:v>
      </ns0:c>
    </ns0:row>
    <ns0:row r="10" customFormat="false" ht="130" hidden="false" customHeight="1" outlineLevel="0" collapsed="false">
      <ns0:c r="A10" s="8" t="s">
        <ns0:v>123</ns0:v>
      </ns0:c>
      <ns0:c r="B10" s="8" t="str">
        <ns0:v>Đầu mối bệnh viện đối chiếu văn bản gốc, phạm vi dữ liệu, lưu trữ, quyền truy cập và nghĩa vụ áp dụng.</ns0:v>
      </ns0:c>
      <ns0:c r="C10" s="8" t="str">
        <ns0:v>Tạm dừng phần bị ảnh hưởng, sửa kiểm soát và xin phê duyệt trước khi chạy lại. Chưa đưa ra kết luận pháp lý trong bài lab.</ns0:v>
      </ns0:c>
      <ns0:c r="D10" s="8" t="str">
        <ns0:v>Đầu mối pháp chế/bảo mật bệnh viện + lãnh đạo công ty; BS Phương duyệt phạm vi chuyên môn.</ns0:v>
      </ns0:c>
    </ns0:row>
    <ns0:row r="12" customFormat="false" ht="15" hidden="false" customHeight="true" outlineLevel="0" collapsed="false">
      <ns0:c r="A12" s="21" t="s">
        <ns0:v>124</ns0:v>
      </ns0:c>
    </ns0:row>
  </ns0:sheetData>
  <ns0:sheetProtection sheet="true" formatColumns="false" formatRows="false"/>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7.xml><?xml version="1.0" encoding="utf-8"?>
<ns0:worksheet xmlns:ns0="http://schemas.openxmlformats.org/spreadsheetml/2006/main">
  <ns0:sheetPr filterMode="false">
    <ns0:pageSetUpPr fitToPage="false"/>
  </ns0:sheetPr>
  <ns0:dimension ref="A1:D8"/>
  <ns0:sheetViews>
    <ns0:sheetView showFormulas="false" showGridLines="tru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1" width="32"/>
    <ns0:col collapsed="false" customWidth="true" hidden="false" outlineLevel="0" max="2" min="2" style="1" width="90"/>
    <ns0:col collapsed="false" customWidth="true" hidden="false" outlineLevel="0" max="3" min="3" style="1" width="8"/>
    <ns0:col collapsed="false" customWidth="true" hidden="false" outlineLevel="0" max="4" min="4" style="1" width="12"/>
  </ns0:cols>
  <ns0:sheetData>
    <ns0:row r="1" customFormat="false" ht="17.25" hidden="false" customHeight="true" outlineLevel="0" collapsed="false">
      <ns0:c r="A1" s="2" t="s">
        <ns0:v>125</ns0:v>
      </ns0:c>
    </ns0:row>
    <ns0:row r="2" customFormat="false" ht="15" hidden="false" customHeight="true" outlineLevel="0" collapsed="false">
      <ns0:c r="A2" s="3" t="s">
        <ns0:v>126</ns0:v>
      </ns0:c>
    </ns0:row>
    <ns0:row r="3" customFormat="false" ht="15" hidden="false" customHeight="true" outlineLevel="0" collapsed="false">
      <ns0:c r="C3" s="25" t="s">
        <ns0:v>127</ns0:v>
      </ns0:c>
      <ns0:c r="D3" s="25" t="s">
        <ns0:v>128</ns0:v>
      </ns0:c>
    </ns0:row>
    <ns0:row r="4" customFormat="false" ht="60" hidden="false" customHeight="1" outlineLevel="0" collapsed="false">
      <ns0:c r="A4" s="25" t="s">
        <ns0:v>129</ns0:v>
      </ns0:c>
      <ns0:c r="B4" s="8" t="str">
        <ns0:v>Đề nghị chỉ pilot RaViện sau sửa lỗi insulin và qua cổng 45 ca, giữ bác sĩ ký 100%, mục tiêu giảm 2/3 thời gian hoàn tất.</ns0:v>
      </ns0:c>
      <ns0:c r="C4" s="26" t="n">
        <ns0:f aca="false">IF(TRIM(B4)="",0,LEN(TRIM(B4))-LEN(SUBSTITUTE(TRIM(B4)," ",""))+1)</ns0:f>
        <ns0:v>27</ns0:v>
      </ns0:c>
      <ns0:c r="D4" s="18" t="str">
        <ns0:f aca="false">IF(C4=0,"Trống",IF(C4&gt;60,"Quá 60 chữ","Đạt"))</ns0:f>
        <ns0:v>Đạt</ns0:v>
      </ns0:c>
    </ns0:row>
    <ns0:row r="5" customFormat="false" ht="60" hidden="false" customHeight="1" outlineLevel="0" collapsed="false">
      <ns0:c r="A5" s="25" t="s">
        <ns0:v>130</ns0:v>
      </ns0:c>
      <ns0:c r="B5" s="8" t="str">
        <ns0:v>0–3 tháng: sửa đối chiếu thuốc, gắn cờ, nháp có nguồn. 3–6 tháng: xét giảm DS sau 600 bản. 6–12 tháng: khám phá chuyển khoa. Không làm Mức 3.</ns0:v>
      </ns0:c>
      <ns0:c r="C5" s="26" t="n">
        <ns0:f aca="false">IF(TRIM(B5)="",0,LEN(TRIM(B5))-LEN(SUBSTITUTE(TRIM(B5)," ",""))+1)</ns0:f>
        <ns0:v>29</ns0:v>
      </ns0:c>
      <ns0:c r="D5" s="18" t="str">
        <ns0:f aca="false">IF(C5=0,"Trống",IF(C5&gt;60,"Quá 60 chữ","Đạt"))</ns0:f>
        <ns0:v>Đạt</ns0:v>
      </ns0:c>
    </ns0:row>
    <ns0:row r="6" customFormat="false" ht="60" hidden="false" customHeight="1" outlineLevel="0" collapsed="false">
      <ns0:c r="A6" s="25" t="s">
        <ns0:v>131</ns0:v>
      </ns0:c>
      <ns0:c r="B6" s="8" t="str">
        <ns0:v>Nguyễn Anh Dũng phụ trách kế hoạch. Giả định lab: BS 2 giờ, DS 4 giờ/tuần. 45 ca dự trù 24,3 giờ chuyên gia. 600 bản cần 30 giờ DS. Mức 1 biên 6,66%. DS 10% có điều kiện cho biên 60,66%.</ns0:v>
      </ns0:c>
      <ns0:c r="C6" s="26" t="n">
        <ns0:f aca="false">IF(TRIM(B6)="",0,LEN(TRIM(B6))-LEN(SUBSTITUTE(TRIM(B6)," ",""))+1)</ns0:f>
        <ns0:v>42</ns0:v>
      </ns0:c>
      <ns0:c r="D6" s="18" t="str">
        <ns0:f aca="false">IF(C6=0,"Trống",IF(C6&gt;60,"Quá 60 chữ","Đạt"))</ns0:f>
        <ns0:v>Đạt</ns0:v>
      </ns0:c>
    </ns0:row>
    <ns0:row r="7" customFormat="false" ht="60" hidden="false" customHeight="1" outlineLevel="0" collapsed="false">
      <ns0:c r="A7" s="25" t="s">
        <ns0:v>132</ns0:v>
      </ns0:c>
      <ns0:c r="B7" s="8" t="str">
        <ns0:v>Dừng ngay nếu 1 lỗi thuốc lọt người bệnh. Cuối tháng pilot 3, sửa nhiều &gt;30%/≥300 bản thì dừng mở rộng. Giữ duyệt an toàn dù chưa đạt biên. Ký chậm 6 tháng có thể cạn tiền tháng 9.</ns0:v>
      </ns0:c>
      <ns0:c r="C7" s="26" t="n">
        <ns0:f aca="false">IF(TRIM(B7)="",0,LEN(TRIM(B7))-LEN(SUBSTITUTE(TRIM(B7)," ",""))+1)</ns0:f>
        <ns0:v>39</ns0:v>
      </ns0:c>
      <ns0:c r="D7" s="18" t="str">
        <ns0:f aca="false">IF(C7=0,"Trống",IF(C7&gt;60,"Quá 60 chữ","Đạt"))</ns0:f>
        <ns0:v>Đạt</ns0:v>
      </ns0:c>
    </ns0:row>
    <ns0:row r="8" customFormat="false" ht="60" hidden="false" customHeight="1" outlineLevel="0" collapsed="false">
      <ns0:c r="A8" s="25" t="s">
        <ns0:v>133</ns0:v>
      </ns0:c>
      <ns0:c r="B8" s="8" t="str">
        <ns0:v>Xem lại ngày 30/60/90 từ khởi động và cuối tháng pilot 3. Ngày thực tế chờ xác nhận. BS Phương, DS Hải duyệt cổng. Lãnh đạo xét hợp đồng/vốn tháng 6. Đổi mô hình, giá hoặc quy định thì rà soát ngay.</ns0:v>
      </ns0:c>
      <ns0:c r="C8" s="26" t="n">
        <ns0:f aca="false">IF(TRIM(B8)="",0,LEN(TRIM(B8))-LEN(SUBSTITUTE(TRIM(B8)," ",""))+1)</ns0:f>
        <ns0:v>42</ns0:v>
      </ns0:c>
      <ns0:c r="D8" s="18" t="str">
        <ns0:f aca="false">IF(C8=0,"Trống",IF(C8&gt;60,"Quá 60 chữ","Đạt"))</ns0:f>
        <ns0:v>Đạt</ns0:v>
      </ns0:c>
    </ns0:row>
  </ns0:sheetData>
  <ns0:sheetProtection sheet="true" formatColumns="false" formatRows="false"/>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8.xml><?xml version="1.0" encoding="utf-8"?>
<ns0:worksheet xmlns:ns0="http://schemas.openxmlformats.org/spreadsheetml/2006/main">
  <ns0:sheetPr filterMode="false">
    <ns0:pageSetUpPr fitToPage="false"/>
  </ns0:sheetPr>
  <ns0:dimension ref="A1:C12"/>
  <ns0:sheetViews>
    <ns0:sheetView showFormulas="false" showGridLines="tru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1" width="66"/>
    <ns0:col collapsed="false" customWidth="true" hidden="false" outlineLevel="0" max="3" min="2" style="1" width="14"/>
  </ns0:cols>
  <ns0:sheetData>
    <ns0:row r="1" customFormat="false" ht="17.25" hidden="false" customHeight="true" outlineLevel="0" collapsed="false">
      <ns0:c r="A1" s="2" t="s">
        <ns0:v>134</ns0:v>
      </ns0:c>
    </ns0:row>
    <ns0:row r="2" customFormat="false" ht="15" hidden="false" customHeight="true" outlineLevel="0" collapsed="false">
      <ns0:c r="A2" s="3" t="s">
        <ns0:v>135</ns0:v>
      </ns0:c>
    </ns0:row>
    <ns0:row r="4" customFormat="false" ht="15" hidden="false" customHeight="true" outlineLevel="0" collapsed="false">
      <ns0:c r="A4" s="10" t="s">
        <ns0:v>136</ns0:v>
      </ns0:c>
      <ns0:c r="B4" s="10" t="s">
        <ns0:v>137</ns0:v>
      </ns0:c>
      <ns0:c r="C4" s="10" t="s">
        <ns0:v>128</ns0:v>
      </ns0:c>
    </ns0:row>
    <ns0:row r="5" customFormat="false" ht="15" hidden="false" customHeight="true" outlineLevel="0" collapsed="false">
      <ns0:c r="A5" s="11" t="s">
        <ns0:v>138</ns0:v>
      </ns0:c>
      <ns0:c r="B5" s="12" t="n">
        <ns0:f aca="false">COUNT('1_Danh sách việc'!M5:M14)</ns0:f>
        <ns0:v>6</ns0:v>
      </ns0:c>
      <ns0:c r="C5" s="12" t="str">
        <ns0:f aca="false">IF(B5&gt;=5,"Đạt","Xem lại")</ns0:f>
        <ns0:v>Đạt</ns0:v>
      </ns0:c>
    </ns0:row>
    <ns0:row r="6" customFormat="false" ht="15" hidden="false" customHeight="true" outlineLevel="0" collapsed="false">
      <ns0:c r="A6" s="11" t="s">
        <ns0:v>139</ns0:v>
      </ns0:c>
      <ns0:c r="B6" s="12" t="n">
        <ns0:f aca="false">COUNTIFS('1_Danh sách việc'!O5:O14,"Thiếu",'1_Danh sách việc'!P5:P14,"&lt;&gt;Không làm")</ns0:f>
        <ns0:v>0</ns0:v>
      </ns0:c>
      <ns0:c r="C6" s="12" t="str">
        <ns0:f aca="false">IF(B5=0,"",IF(B6=0,"Đạt","Xem lại"))</ns0:f>
        <ns0:v>Đạt</ns0:v>
      </ns0:c>
    </ns0:row>
    <ns0:row r="7" customFormat="false" ht="15" hidden="false" customHeight="true" outlineLevel="0" collapsed="false">
      <ns0:c r="A7" s="11" t="s">
        <ns0:v>140</ns0:v>
      </ns0:c>
      <ns0:c r="B7" s="12" t="n">
        <ns0:f aca="false">COUNTIF('2_Mức tự động'!M6:M8,"Có")</ns0:f>
        <ns0:v>2</ns0:v>
      </ns0:c>
      <ns0:c r="C7" s="12" t="str">
        <ns0:f aca="false">IF(B7&gt;=2,"Đạt","Xem lại")</ns0:f>
        <ns0:v>Đạt</ns0:v>
      </ns0:c>
    </ns0:row>
    <ns0:row r="8" customFormat="false" ht="15" hidden="false" customHeight="true" outlineLevel="0" collapsed="false">
      <ns0:c r="A8" s="11" t="s">
        <ns0:v>141</ns0:v>
      </ns0:c>
      <ns0:c r="B8" s="12" t="n">
        <ns0:f aca="false">COUNTA('3_Bảng lộ trình'!B5:B12)</ns0:f>
        <ns0:v>8</ns0:v>
      </ns0:c>
      <ns0:c r="C8" s="12" t="str">
        <ns0:f aca="false">IF(B8=8,"Đạt","Xem lại")</ns0:f>
        <ns0:v>Đạt</ns0:v>
      </ns0:c>
    </ns0:row>
    <ns0:row r="9" customFormat="false" ht="15" hidden="false" customHeight="true" outlineLevel="0" collapsed="false">
      <ns0:c r="A9" s="11" t="s">
        <ns0:v>142</ns0:v>
      </ns0:c>
      <ns0:c r="B9" s="12" t="str">
        <ns0:f aca="false">IF(AND(LEN('3_Bảng lộ trình'!B12)&gt;10,SUMPRODUCT(--ISNUMBER(SEARCH({"0","1","2","3","4","5","6","7","8","9"},'3_Bảng lộ trình'!B12)))&gt;0),"Có","Chưa")</ns0:f>
        <ns0:v>Có</ns0:v>
      </ns0:c>
      <ns0:c r="C9" s="12" t="str">
        <ns0:f aca="false">IF(B9="Có","Đạt","Xem lại")</ns0:f>
        <ns0:v>Đạt</ns0:v>
      </ns0:c>
    </ns0:row>
    <ns0:row r="10" customFormat="false" ht="15" hidden="false" customHeight="true" outlineLevel="0" collapsed="false">
      <ns0:c r="A10" s="11" t="s">
        <ns0:v>143</ns0:v>
      </ns0:c>
      <ns0:c r="B10" s="12" t="str">
        <ns0:f aca="false">IF(AND(LEN('3_Bảng lộ trình'!B11)&gt;10,SUMPRODUCT(--ISNUMBER(SEARCH({"0","1","2","3","4","5","6","7","8","9"},'3_Bảng lộ trình'!B11)))&gt;0),"Có","Chưa")</ns0:f>
        <ns0:v>Có</ns0:v>
      </ns0:c>
      <ns0:c r="C10" s="12" t="str">
        <ns0:f aca="false">IF(B10="Có","Đạt","Xem lại")</ns0:f>
        <ns0:v>Đạt</ns0:v>
      </ns0:c>
    </ns0:row>
    <ns0:row r="11" customFormat="false" ht="15" hidden="false" customHeight="true" outlineLevel="0" collapsed="false">
      <ns0:c r="A11" s="11" t="s">
        <ns0:v>144</ns0:v>
      </ns0:c>
      <ns0:c r="B11" s="12" t="n">
        <ns0:f aca="false">COUNTIF('5_Slide lãnh đạo'!D4:D8,"Đạt")</ns0:f>
        <ns0:v>5</ns0:v>
      </ns0:c>
      <ns0:c r="C11" s="12" t="str">
        <ns0:f aca="false">IF(B11=5,"Đạt","Xem lại")</ns0:f>
        <ns0:v>Đạt</ns0:v>
      </ns0:c>
    </ns0:row>
    <ns0:row r="12" customFormat="false" ht="15" hidden="false" customHeight="true" outlineLevel="0" collapsed="false">
      <ns0:c r="A12" s="11" t="s">
        <ns0:v>145</ns0:v>
      </ns0:c>
      <ns0:c r="B12" s="12" t="n">
        <ns0:f aca="false">COUNTIF('2_Mức tự động'!L5:L8,"Đạt")</ns0:f>
        <ns0:v>1</ns0:v>
      </ns0:c>
      <ns0:c r="C12" s="12" t="str">
        <ns0:f aca="false">IF(B12&gt;=1,"Đạt","Xem lại")</ns0:f>
        <ns0:v>Đạt</ns0:v>
      </ns0:c>
    </ns0:row>
  </ns0:sheetData>
  <ns0:sheetProtection sheet="true" formatColumns="false" formatRows="false"/>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xl/worksheets/sheet9.xml><?xml version="1.0" encoding="utf-8"?>
<ns0:worksheet xmlns:ns0="http://schemas.openxmlformats.org/spreadsheetml/2006/main">
  <ns0:sheetPr filterMode="false">
    <ns0:pageSetUpPr fitToPage="false"/>
  </ns0:sheetPr>
  <ns0:dimension ref="A1:D22"/>
  <ns0:sheetViews>
    <ns0:sheetView showFormulas="false" showGridLines="tru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1" width="32"/>
    <ns0:col collapsed="false" customWidth="true" hidden="false" outlineLevel="0" max="2" min="2" style="1" width="30"/>
    <ns0:col collapsed="false" customWidth="true" hidden="false" outlineLevel="0" max="3" min="3" style="1" width="80"/>
    <ns0:col collapsed="false" customWidth="true" hidden="false" outlineLevel="0" max="4" min="4" style="1" width="40"/>
  </ns0:cols>
  <ns0:sheetData>
    <ns0:row r="1" customFormat="false" ht="17.25" hidden="false" customHeight="true" outlineLevel="0" collapsed="false">
      <ns0:c r="A1" s="2" t="s">
        <ns0:v>146</ns0:v>
      </ns0:c>
    </ns0:row>
    <ns0:row r="2" customFormat="false" ht="15" hidden="false" customHeight="true" outlineLevel="0" collapsed="false">
      <ns0:c r="A2" s="3"/>
    </ns0:row>
    <ns0:row r="4" customFormat="false" ht="15" hidden="false" customHeight="true" outlineLevel="0" collapsed="false">
      <ns0:c r="A4" s="10" t="s">
        <ns0:v>147</ns0:v>
      </ns0:c>
      <ns0:c r="B4" s="10" t="s">
        <ns0:v>148</ns0:v>
      </ns0:c>
      <ns0:c r="C4" s="10" t="s">
        <ns0:v>149</ns0:v>
      </ns0:c>
      <ns0:c r="D4" s="10" t="s">
        <ns0:v>150</ns0:v>
      </ns0:c>
    </ns0:row>
    <ns0:row r="5" customFormat="false" ht="15" hidden="false" customHeight="true" outlineLevel="0" collapsed="false">
      <ns0:c r="A5" s="11" t="s">
        <ns0:v>151</ns0:v>
      </ns0:c>
      <ns0:c r="B5" s="1" t="n">
        <ns0:v>20</ns0:v>
      </ns0:c>
      <ns0:c r="C5" s="27" t="s">
        <ns0:v>152</ns0:v>
      </ns0:c>
      <ns0:c r="D5" s="28"/>
    </ns0:row>
    <ns0:row r="6" customFormat="false" ht="15" hidden="false" customHeight="true" outlineLevel="0" collapsed="false">
      <ns0:c r="A6" s="11" t="s">
        <ns0:v>153</ns0:v>
      </ns0:c>
      <ns0:c r="B6" s="1" t="n">
        <ns0:v>20</ns0:v>
      </ns0:c>
      <ns0:c r="C6" s="27" t="s">
        <ns0:v>154</ns0:v>
      </ns0:c>
      <ns0:c r="D6" s="28"/>
    </ns0:row>
    <ns0:row r="7" customFormat="false" ht="15" hidden="false" customHeight="true" outlineLevel="0" collapsed="false">
      <ns0:c r="A7" s="11" t="s">
        <ns0:v>155</ns0:v>
      </ns0:c>
      <ns0:c r="B7" s="1" t="n">
        <ns0:v>25</ns0:v>
      </ns0:c>
      <ns0:c r="C7" s="27" t="s">
        <ns0:v>156</ns0:v>
      </ns0:c>
      <ns0:c r="D7" s="28"/>
    </ns0:row>
    <ns0:row r="8" customFormat="false" ht="15" hidden="false" customHeight="true" outlineLevel="0" collapsed="false">
      <ns0:c r="A8" s="11" t="s">
        <ns0:v>157</ns0:v>
      </ns0:c>
      <ns0:c r="B8" s="1" t="n">
        <ns0:v>15</ns0:v>
      </ns0:c>
      <ns0:c r="C8" s="27" t="s">
        <ns0:v>158</ns0:v>
      </ns0:c>
      <ns0:c r="D8" s="28"/>
    </ns0:row>
    <ns0:row r="9" customFormat="false" ht="15" hidden="false" customHeight="true" outlineLevel="0" collapsed="false">
      <ns0:c r="A9" s="11" t="s">
        <ns0:v>159</ns0:v>
      </ns0:c>
      <ns0:c r="B9" s="1" t="n">
        <ns0:v>20</ns0:v>
      </ns0:c>
      <ns0:c r="C9" s="27" t="s">
        <ns0:v>160</ns0:v>
      </ns0:c>
      <ns0:c r="D9" s="28"/>
    </ns0:row>
    <ns0:row r="10" customFormat="false" ht="15" hidden="false" customHeight="true" outlineLevel="0" collapsed="false">
      <ns0:c r="A10" s="9" t="s">
        <ns0:v>161</ns0:v>
      </ns0:c>
      <ns0:c r="B10" s="1" t="n">
        <ns0:f aca="false">SUM(B5:B9)</ns0:f>
        <ns0:v>100</ns0:v>
      </ns0:c>
      <ns0:c r="D10" s="12" t="n">
        <ns0:f aca="false">SUM(D5:D9)</ns0:f>
        <ns0:v>0</ns0:v>
      </ns0:c>
    </ns0:row>
    <ns0:row r="12" customFormat="false" ht="60" hidden="false" customHeight="1" outlineLevel="0" collapsed="false">
      <ns0:c r="A12" s="9"/>
      <ns0:c r="D12" s="28"/>
    </ns0:row>
    <ns0:row r="15" customFormat="false" ht="15" hidden="false" customHeight="true" outlineLevel="0" collapsed="false">
      <ns0:c r="A15" s="29" t="s">
        <ns0:v>162</ns0:v>
      </ns0:c>
    </ns0:row>
    <ns0:row r="16" customFormat="false" ht="15" hidden="false" customHeight="true" outlineLevel="0" collapsed="false">
      <ns0:c r="A16" s="10" t="s">
        <ns0:v>147</ns0:v>
      </ns0:c>
      <ns0:c r="B16" s="10" t="s">
        <ns0:v>163</ns0:v>
      </ns0:c>
      <ns0:c r="C16" s="10" t="s">
        <ns0:v>164</ns0:v>
      </ns0:c>
      <ns0:c r="D16" s="10" t="s">
        <ns0:v>165</ns0:v>
      </ns0:c>
    </ns0:row>
    <ns0:row r="17" customFormat="false" ht="45.75" hidden="false" customHeight="true" outlineLevel="0" collapsed="false">
      <ns0:c r="A17" s="30" t="s">
        <ns0:v>166</ns0:v>
      </ns0:c>
      <ns0:c r="B17" s="31" t="s">
        <ns0:v>167</ns0:v>
      </ns0:c>
      <ns0:c r="C17" s="31" t="s">
        <ns0:v>168</ns0:v>
      </ns0:c>
      <ns0:c r="D17" s="31" t="s">
        <ns0:v>169</ns0:v>
      </ns0:c>
    </ns0:row>
    <ns0:row r="18" customFormat="false" ht="45.75" hidden="false" customHeight="true" outlineLevel="0" collapsed="false">
      <ns0:c r="A18" s="30" t="s">
        <ns0:v>170</ns0:v>
      </ns0:c>
      <ns0:c r="B18" s="31" t="s">
        <ns0:v>171</ns0:v>
      </ns0:c>
      <ns0:c r="C18" s="31" t="s">
        <ns0:v>172</ns0:v>
      </ns0:c>
      <ns0:c r="D18" s="31" t="s">
        <ns0:v>173</ns0:v>
      </ns0:c>
    </ns0:row>
    <ns0:row r="19" customFormat="false" ht="45.75" hidden="false" customHeight="true" outlineLevel="0" collapsed="false">
      <ns0:c r="A19" s="30" t="s">
        <ns0:v>174</ns0:v>
      </ns0:c>
      <ns0:c r="B19" s="31" t="s">
        <ns0:v>175</ns0:v>
      </ns0:c>
      <ns0:c r="C19" s="31" t="s">
        <ns0:v>176</ns0:v>
      </ns0:c>
      <ns0:c r="D19" s="31" t="s">
        <ns0:v>177</ns0:v>
      </ns0:c>
    </ns0:row>
    <ns0:row r="20" customFormat="false" ht="45.75" hidden="false" customHeight="true" outlineLevel="0" collapsed="false">
      <ns0:c r="A20" s="30" t="s">
        <ns0:v>178</ns0:v>
      </ns0:c>
      <ns0:c r="B20" s="31" t="s">
        <ns0:v>179</ns0:v>
      </ns0:c>
      <ns0:c r="C20" s="31" t="s">
        <ns0:v>180</ns0:v>
      </ns0:c>
      <ns0:c r="D20" s="31" t="s">
        <ns0:v>181</ns0:v>
      </ns0:c>
    </ns0:row>
    <ns0:row r="22" customFormat="false" ht="15" hidden="false" customHeight="true" outlineLevel="0" collapsed="false">
      <ns0:c r="A22" s="21" t="s">
        <ns0:v>182</ns0:v>
      </ns0:c>
    </ns0:row>
  </ns0:sheetData>
  <ns0:sheetProtection sheet="true" formatColumns="false" formatRows="false"/>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2026-10-04T05:24:07Z</dcterms:created>
  <dc:creator>openpyxl</dc:creator>
  <dc:description/>
  <dc:language>en-US</dc:language>
  <cp:lastModifiedBy/>
  <dcterms:modified xsi:type="dcterms:W3CDTF">2026-10-14T15:39:15Z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